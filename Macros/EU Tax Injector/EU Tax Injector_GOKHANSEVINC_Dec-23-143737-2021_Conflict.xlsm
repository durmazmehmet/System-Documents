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BuÇalışmaKitabı" defaultThemeVersion="166925"/>
  <mc:AlternateContent xmlns:mc="http://schemas.openxmlformats.org/markup-compatibility/2006">
    <mc:Choice Requires="x15">
      <x15ac:absPath xmlns:x15ac="http://schemas.microsoft.com/office/spreadsheetml/2010/11/ac" url="D:\DevTeam\System Documents\Macros\EU Tax Injector\"/>
    </mc:Choice>
  </mc:AlternateContent>
  <xr:revisionPtr revIDLastSave="0" documentId="13_ncr:1_{F6FF0BA6-D0D5-41EF-9351-0CCA93F48452}" xr6:coauthVersionLast="47" xr6:coauthVersionMax="47" xr10:uidLastSave="{00000000-0000-0000-0000-000000000000}"/>
  <bookViews>
    <workbookView xWindow="-108" yWindow="-108" windowWidth="23256" windowHeight="12456" firstSheet="1" activeTab="1" xr2:uid="{632D0CCD-C6E9-4E0E-9F1F-380E4C26543C}"/>
  </bookViews>
  <sheets>
    <sheet name="Requests" sheetId="13" state="hidden" r:id="rId1"/>
    <sheet name="SG" sheetId="1" r:id="rId2"/>
    <sheet name="List" sheetId="2" r:id="rId3"/>
    <sheet name="Comparation" sheetId="12" state="hidden" r:id="rId4"/>
    <sheet name="WorkingSample" sheetId="5" state="hidden" r:id="rId5"/>
  </sheets>
  <definedNames>
    <definedName name="_xlnm._FilterDatabase" localSheetId="2" hidden="1">List!$A$1:$N$83</definedName>
    <definedName name="const_country_code">SG!$B$3</definedName>
    <definedName name="const_isVatNumberValid">SG!$B$5</definedName>
    <definedName name="const_post_id">SG!$B$2</definedName>
    <definedName name="const_shippingVat">SG!$B$8</definedName>
    <definedName name="const_subTotalVat">SG!$B$7</definedName>
    <definedName name="const_totalVat">SG!$B$9</definedName>
    <definedName name="const_VAT_Numeric">SG!$B$4</definedName>
    <definedName name="const_vatRate">SG!$B$6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87" i="2" l="1"/>
  <c r="M87" i="2"/>
  <c r="K87" i="2"/>
  <c r="M86" i="2"/>
  <c r="L86" i="2"/>
  <c r="K86" i="2"/>
  <c r="M85" i="2"/>
  <c r="L85" i="2"/>
  <c r="K85" i="2"/>
  <c r="M84" i="2"/>
  <c r="L84" i="2"/>
  <c r="K84" i="2"/>
  <c r="M83" i="2"/>
  <c r="L83" i="2"/>
  <c r="K83" i="2"/>
  <c r="M82" i="2"/>
  <c r="L82" i="2"/>
  <c r="K82" i="2"/>
  <c r="M81" i="2"/>
  <c r="L81" i="2"/>
  <c r="K81" i="2"/>
  <c r="M80" i="2"/>
  <c r="L80" i="2"/>
  <c r="K80" i="2"/>
  <c r="M79" i="2"/>
  <c r="L79" i="2"/>
  <c r="K79" i="2"/>
  <c r="M78" i="2"/>
  <c r="L78" i="2"/>
  <c r="K78" i="2"/>
  <c r="M77" i="2"/>
  <c r="L77" i="2"/>
  <c r="K77" i="2"/>
  <c r="M76" i="2"/>
  <c r="L76" i="2"/>
  <c r="K76" i="2"/>
  <c r="M75" i="2"/>
  <c r="L75" i="2"/>
  <c r="K75" i="2"/>
  <c r="M74" i="2"/>
  <c r="L74" i="2"/>
  <c r="K74" i="2"/>
  <c r="M73" i="2"/>
  <c r="L73" i="2"/>
  <c r="K73" i="2"/>
  <c r="M72" i="2"/>
  <c r="L72" i="2"/>
  <c r="K72" i="2"/>
  <c r="M71" i="2"/>
  <c r="L71" i="2"/>
  <c r="K71" i="2"/>
  <c r="M70" i="2"/>
  <c r="L70" i="2"/>
  <c r="K70" i="2"/>
  <c r="M69" i="2"/>
  <c r="L69" i="2"/>
  <c r="K69" i="2"/>
  <c r="L68" i="2"/>
  <c r="K68" i="2"/>
  <c r="L67" i="2"/>
  <c r="K67" i="2"/>
  <c r="M66" i="2"/>
  <c r="L66" i="2"/>
  <c r="K66" i="2"/>
  <c r="M65" i="2"/>
  <c r="L65" i="2"/>
  <c r="K65" i="2"/>
  <c r="M64" i="2"/>
  <c r="L64" i="2"/>
  <c r="K64" i="2"/>
  <c r="L63" i="2"/>
  <c r="K63" i="2"/>
  <c r="M62" i="2"/>
  <c r="L62" i="2"/>
  <c r="K62" i="2"/>
  <c r="M61" i="2"/>
  <c r="L61" i="2"/>
  <c r="K61" i="2"/>
  <c r="M60" i="2"/>
  <c r="L60" i="2"/>
  <c r="K60" i="2"/>
  <c r="M59" i="2"/>
  <c r="L59" i="2"/>
  <c r="K59" i="2"/>
  <c r="L58" i="2"/>
  <c r="K58" i="2"/>
  <c r="L57" i="2"/>
  <c r="K57" i="2"/>
  <c r="L56" i="2"/>
  <c r="K56" i="2"/>
  <c r="L55" i="2"/>
  <c r="K55" i="2"/>
  <c r="M54" i="2"/>
  <c r="L54" i="2"/>
  <c r="K54" i="2"/>
  <c r="L53" i="2"/>
  <c r="K53" i="2"/>
  <c r="L52" i="2"/>
  <c r="K52" i="2"/>
  <c r="L51" i="2"/>
  <c r="K51" i="2"/>
  <c r="L50" i="2"/>
  <c r="L49" i="2"/>
  <c r="K49" i="2"/>
  <c r="L48" i="2"/>
  <c r="K48" i="2"/>
  <c r="M47" i="2"/>
  <c r="L47" i="2"/>
  <c r="K47" i="2"/>
  <c r="L46" i="2"/>
  <c r="K46" i="2"/>
  <c r="L45" i="2"/>
  <c r="K45" i="2"/>
  <c r="M44" i="2"/>
  <c r="L44" i="2"/>
  <c r="K44" i="2"/>
  <c r="M43" i="2"/>
  <c r="L43" i="2"/>
  <c r="K43" i="2"/>
  <c r="M42" i="2"/>
  <c r="L42" i="2"/>
  <c r="K42" i="2"/>
  <c r="M41" i="2"/>
  <c r="L41" i="2"/>
  <c r="K41" i="2"/>
  <c r="M40" i="2"/>
  <c r="L40" i="2"/>
  <c r="K40" i="2"/>
  <c r="L39" i="2"/>
  <c r="K39" i="2"/>
  <c r="L38" i="2"/>
  <c r="K38" i="2"/>
  <c r="L37" i="2"/>
  <c r="K37" i="2"/>
  <c r="M36" i="2"/>
  <c r="L36" i="2"/>
  <c r="K36" i="2"/>
  <c r="L35" i="2"/>
  <c r="K35" i="2"/>
  <c r="L34" i="2"/>
  <c r="K34" i="2"/>
  <c r="M33" i="2"/>
  <c r="L33" i="2"/>
  <c r="K33" i="2"/>
  <c r="L32" i="2"/>
  <c r="K32" i="2"/>
  <c r="M31" i="2"/>
  <c r="L31" i="2"/>
  <c r="K31" i="2"/>
  <c r="L30" i="2"/>
  <c r="K30" i="2"/>
  <c r="L29" i="2"/>
  <c r="K29" i="2"/>
  <c r="M28" i="2"/>
  <c r="L28" i="2"/>
  <c r="K28" i="2"/>
  <c r="L27" i="2"/>
  <c r="K27" i="2"/>
  <c r="L26" i="2"/>
  <c r="K26" i="2"/>
  <c r="L25" i="2"/>
  <c r="K25" i="2"/>
  <c r="M24" i="2"/>
  <c r="L24" i="2"/>
  <c r="K24" i="2"/>
  <c r="L23" i="2"/>
  <c r="K23" i="2"/>
  <c r="M22" i="2"/>
  <c r="L22" i="2"/>
  <c r="K22" i="2"/>
  <c r="L21" i="2"/>
  <c r="K21" i="2"/>
  <c r="L20" i="2"/>
  <c r="K20" i="2"/>
  <c r="L19" i="2"/>
  <c r="K19" i="2"/>
  <c r="L18" i="2"/>
  <c r="K18" i="2"/>
  <c r="M17" i="2"/>
  <c r="L17" i="2"/>
  <c r="K17" i="2"/>
  <c r="L16" i="2"/>
  <c r="K16" i="2"/>
  <c r="L15" i="2"/>
  <c r="M15" i="2" s="1"/>
  <c r="M14" i="2"/>
  <c r="L14" i="2"/>
  <c r="K14" i="2"/>
  <c r="M13" i="2"/>
  <c r="L13" i="2"/>
  <c r="K13" i="2"/>
  <c r="M12" i="2"/>
  <c r="L12" i="2"/>
  <c r="K12" i="2"/>
  <c r="L11" i="2"/>
  <c r="K11" i="2"/>
  <c r="L10" i="2"/>
  <c r="K10" i="2"/>
  <c r="L9" i="2"/>
  <c r="K9" i="2"/>
  <c r="L8" i="2"/>
  <c r="K8" i="2"/>
  <c r="L6" i="2"/>
  <c r="K6" i="2"/>
  <c r="B4" i="12"/>
  <c r="B5" i="12"/>
  <c r="B6" i="12"/>
  <c r="B7" i="12"/>
  <c r="B8" i="12"/>
  <c r="B9" i="12"/>
  <c r="B10" i="12"/>
  <c r="B3" i="12"/>
  <c r="B1" i="1"/>
  <c r="B10" i="1" s="1"/>
  <c r="G10" i="12"/>
  <c r="M20" i="2" l="1"/>
  <c r="M18" i="2"/>
  <c r="M25" i="2"/>
  <c r="M39" i="2"/>
  <c r="M6" i="2"/>
  <c r="M56" i="2"/>
  <c r="M63" i="2"/>
  <c r="M16" i="2"/>
  <c r="M37" i="2"/>
  <c r="M30" i="2"/>
  <c r="M19" i="2"/>
  <c r="M38" i="2"/>
  <c r="M55" i="2"/>
  <c r="M49" i="2"/>
  <c r="M9" i="2"/>
  <c r="M46" i="2"/>
  <c r="M58" i="2"/>
  <c r="M35" i="2"/>
  <c r="M48" i="2"/>
  <c r="M8" i="2"/>
  <c r="M29" i="2"/>
  <c r="M45" i="2"/>
  <c r="M53" i="2"/>
  <c r="M32" i="2"/>
  <c r="M57" i="2"/>
  <c r="M10" i="2"/>
  <c r="M26" i="2"/>
  <c r="M51" i="2"/>
  <c r="M11" i="2"/>
  <c r="M23" i="2"/>
  <c r="M21" i="2"/>
  <c r="M34" i="2"/>
  <c r="B7" i="1"/>
  <c r="B8" i="1"/>
  <c r="B6" i="1"/>
  <c r="B2" i="1"/>
  <c r="B4" i="1"/>
  <c r="B3" i="1"/>
  <c r="B5" i="1"/>
  <c r="B9" i="1" l="1"/>
</calcChain>
</file>

<file path=xl/sharedStrings.xml><?xml version="1.0" encoding="utf-8"?>
<sst xmlns="http://schemas.openxmlformats.org/spreadsheetml/2006/main" count="452" uniqueCount="178">
  <si>
    <t>SN</t>
  </si>
  <si>
    <t>post_id</t>
  </si>
  <si>
    <t>VAT Number</t>
  </si>
  <si>
    <t>Valid VAT Number</t>
  </si>
  <si>
    <t>COUNTRY CODE</t>
  </si>
  <si>
    <t>RATE</t>
  </si>
  <si>
    <t>VAT TOTAL</t>
  </si>
  <si>
    <t>BE</t>
  </si>
  <si>
    <t>true</t>
  </si>
  <si>
    <t>ITEMS_TOTAL_vat</t>
  </si>
  <si>
    <t>INSERT INTO `wp_c9296efc0a_postmeta` (`post_id`, `meta_key`, `meta_value`) VALUES</t>
  </si>
  <si>
    <t>(19509, 'Valid VAT Number', 'true'),</t>
  </si>
  <si>
    <t>(19509, 'wceuvat_conversion_rates', 'a:2:{s:4:\"meta\";a:1:{s:14:\"order_currency\";s:3:\"EUR\";}s:5:\"rates\";a:0:{}}'),</t>
  </si>
  <si>
    <t>NL</t>
  </si>
  <si>
    <t>(19509, 'vat_compliance_country_info', 'a:3:{s:6:\"source\";s:11:\"woocommerce\";s:4:\"data\";s:2:\"BE\";s:15:\"taxable_address\";a:4:{i:0;s:2:\"BE\";i:1;s:0:\"\";i:2;s:4:\"3550\";i:3;s:14:\"Heusden-Zolder\";}}'),</t>
  </si>
  <si>
    <t>(19509, 'vat_compliance_vat_paid', 'a:10:{s:8:\"by_rates\";a:1:{i:4;a:5:{s:18:\"is_variable_eu_vat\";b:1;s:11:\"items_total\";d:20.58;s:14:\"shipping_total\";d:1.11;s:4:\"rate\";s:7:\"21.0000\";s:4:\"name\";s:9:\"VAT (21%)\";}}s:11:\"items_total\";d:20.58;s:14:\"shipping_total\";d:1.11;s:5:\"total\";d:21.689999999999998;s:8:\"currency\";s:3:\"EUR\";s:12:\"base_country\";s:2:\"BE\";s:13:\"base_currency\";s:3:\"EUR\";s:25:\"items_total_base_currency\";d:20.58;s:28:\"shipping_total_base_currency\";d:1.11;s:19:\"total_base_currency\";d:21.689999999999998;}'),</t>
  </si>
  <si>
    <t>(19509, 'VAT Number', 'BE 12152');</t>
  </si>
  <si>
    <t>SHIPPING_TOTAL_vat</t>
  </si>
  <si>
    <t>DE</t>
  </si>
  <si>
    <t>false</t>
  </si>
  <si>
    <t>AT</t>
  </si>
  <si>
    <t>0550572295</t>
  </si>
  <si>
    <t>0721681879</t>
  </si>
  <si>
    <t>0637791133</t>
  </si>
  <si>
    <t>0759385284</t>
  </si>
  <si>
    <t>CH</t>
  </si>
  <si>
    <t>0442782234</t>
  </si>
  <si>
    <t>859550515B01</t>
  </si>
  <si>
    <t>FR</t>
  </si>
  <si>
    <t>HR</t>
  </si>
  <si>
    <t>14588422845</t>
  </si>
  <si>
    <t>US</t>
  </si>
  <si>
    <t>0680651176</t>
  </si>
  <si>
    <t>855195526B01</t>
  </si>
  <si>
    <t>0833748058</t>
  </si>
  <si>
    <t>28293083</t>
  </si>
  <si>
    <t>RO</t>
  </si>
  <si>
    <t>003280698B09</t>
  </si>
  <si>
    <t>IT</t>
  </si>
  <si>
    <t>332869522</t>
  </si>
  <si>
    <t>21844395673</t>
  </si>
  <si>
    <t>CZ</t>
  </si>
  <si>
    <t>329675578</t>
  </si>
  <si>
    <t>001706442B08</t>
  </si>
  <si>
    <t>165018076</t>
  </si>
  <si>
    <t>60333221497</t>
  </si>
  <si>
    <t>RESULTS CHAMBER</t>
  </si>
  <si>
    <t>ITEM TAX INC</t>
  </si>
  <si>
    <t>SHP TAX INC</t>
  </si>
  <si>
    <t>a:10:{s:8:"by_rates";a:0:{}s:11:"items_total";i:0;s:14:"shipping_total";i:0;s:5:"total";i:0;s:8:"currency";s:3:"EUR";s:12:"base_country";s:2:"BE";s:13:"base_currency";s:3:"EUR";s:25:"items_total_base_currency";i:0;s:28:"shipping_total_base_currency";i:0;s:19:"total_base_currency";i:0;}</t>
  </si>
  <si>
    <t>IS IT ENTERED?</t>
  </si>
  <si>
    <t>vat_compliance_country_info</t>
  </si>
  <si>
    <t>vat_compliance_vat_paid</t>
  </si>
  <si>
    <t>wceuvat_conversion_rates</t>
  </si>
  <si>
    <t>a:2:{s:4:"meta";a:1:{s:14:"order_currency";s:3:"EUR";}s:5:"rates";a:0:{}}</t>
  </si>
  <si>
    <t>is_vat_exempt</t>
  </si>
  <si>
    <t>VIES Response</t>
  </si>
  <si>
    <t>VAT number validated</t>
  </si>
  <si>
    <t>META TAG</t>
  </si>
  <si>
    <t>META VALUE</t>
  </si>
  <si>
    <t>BELGIUM WITH VAT</t>
  </si>
  <si>
    <t>yes</t>
  </si>
  <si>
    <t>a:3:{s:6:"source";s:11:"woocommerce";s:4:"data";s:2:"NL";s:15:"taxable_address";a:4:{i:0;s:2:"NL";i:1;s:0:"";i:2;s:0:"";i:3;s:0:"";}}</t>
  </si>
  <si>
    <t>NL 003391605B73</t>
  </si>
  <si>
    <t>no</t>
  </si>
  <si>
    <t>a:3:{s:6:"source";s:11:"woocommerce";s:4:"data";s:2:"BE";s:15:"taxable_address";a:4:{i:0;s:2:"BE";i:1;s:0:"";i:2;s:4:"3550";i:3;s:14:"Heusden-Zolder";}}</t>
  </si>
  <si>
    <t>BE 0751536006</t>
  </si>
  <si>
    <t>a:10:{s:8:"by_rates";a:1:{i:4;a:5:{s:18:"is_variable_eu_vat";b:1;s:11:"items_total";d:20.58;s:14:"shipping_total";d:1.11;s:4:"rate";s:7:"21.0000";s:4:"name";s:9:"VAT (21%)";}}s:11:"items_total";d:20.58;s:14:"shipping_total";d:1.11;s:5:"total";d:21.689999999999998;s:8:"currency";s:3:"EUR";s:12:"base_country";s:2:"BE";s:13:"base_currency";s:3:"EUR";s:25:"items_total_base_currency";d:20.58;s:28:"shipping_total_base_currency";d:1.11;s:19:"total_base_currency";d:21.689999999999998;}</t>
  </si>
  <si>
    <t>PASS</t>
  </si>
  <si>
    <t>NOT EXIST</t>
  </si>
  <si>
    <t>ABROAD NO VAT NUM</t>
  </si>
  <si>
    <t>BELGIUM NO VAT NUM</t>
  </si>
  <si>
    <t>ABROAD WITH VAT</t>
  </si>
  <si>
    <t>a:3:{s:6:"source";s:11:"woocommerce";s:4:"data";s:0:"";s:15:"taxable_address";a:4:{i:0;s:2:"BE";i:1;s:0:"";i:2;s:4:"3550";i:3;s:14:"Heusden-Zolder";}}</t>
  </si>
  <si>
    <t>a:10:{s:8:"by_rates";a:1:{i:4;a:5:{s:18:"is_variable_eu_vat";b:1;s:11:"items_total";d:708.73000000000002;s:14:"shipping_total";d:1.1100000000000001;s:4:"rate";s:7:"21.0000";s:4:"name";s:9:"VAT (21%)";}}s:11:"items_total";d:708.73000000000002;s:14:"shipping_total";d:1.1100000000000001;s:5:"total";d:709.84000000000003;s:8:"currency";s:3:"EUR";s:12:"base_country";s:2:"BE";s:13:"base_currency";s:3:"EUR";s:25:"items_total_base_currency";d:708.73000000000002;s:28:"shipping_total_base_currency";d:1.1100000000000001;s:19:"total_base_currency";d:709.84000000000003;}</t>
  </si>
  <si>
    <t>ITEMS SUBTOTAL</t>
  </si>
  <si>
    <t>ITEMS SUBTOTAL VAT</t>
  </si>
  <si>
    <t xml:space="preserve">SHIPPING VAT </t>
  </si>
  <si>
    <t>SHIPPING</t>
  </si>
  <si>
    <t>a:3:{s:6:"source";s:11:"woocommerce";s:4:"data";s:0:"";s:15:"taxable_address";a:4:{i:0;s:2:"NL";i:1;s:0:"";i:2;s:0:"";i:3;s:0:"";}}</t>
  </si>
  <si>
    <t>a:10:{s:8:"by_rates";a:1:{i:191;a:5:{s:18:"is_variable_eu_vat";b:0;s:11:"items_total";i:630;s:14:"shipping_total";i:0;s:4:"rate";s:7:"21.0000";s:4:"name";s:9:"VAT (21%)";}}s:11:"items_total";i:0;s:14:"shipping_total";i:0;s:5:"total";i:0;s:8:"currency";s:3:"EUR";s:12:"base_country";s:2:"BE";s:13:"base_currency";s:3:"EUR";s:25:"items_total_base_currency";i:0;s:28:"shipping_total_base_currency";i:0;s:19:"total_base_currency";i:0;}</t>
  </si>
  <si>
    <t>283459010</t>
  </si>
  <si>
    <t>CANCELLED</t>
  </si>
  <si>
    <t>STATUS</t>
  </si>
  <si>
    <t>ON HOLD</t>
  </si>
  <si>
    <t>70887888808</t>
  </si>
  <si>
    <t>857632553B01</t>
  </si>
  <si>
    <t>INO</t>
  </si>
  <si>
    <t>VAT CORRECTED</t>
  </si>
  <si>
    <t>0737532372</t>
  </si>
  <si>
    <t>Sn</t>
  </si>
  <si>
    <t>Invoice No</t>
  </si>
  <si>
    <t>Request</t>
  </si>
  <si>
    <t>HCS-2021-00003-13875-04022021-Factuur</t>
  </si>
  <si>
    <t>The VAT number has changed for Sales Invoice 3 to Carmeliet Reinout. On the first invoice it is correct (0721.681.879) on the second invoice it has become 068.0651.176.
This VAT number belongs to the company BM BV, Philippe spethstraat 24, 2950 Kapellen. Can you check this and send the adjusted invoice?</t>
  </si>
  <si>
    <t>The improved sales invoice no. 4 to Swiggers Nathalie contains the VAT number of VF3 Carmeliet Reinhout.
Can you adjust this to 0737.532.372 from Swiggers Nathalie. (see first sales invoice no. 6)</t>
  </si>
  <si>
    <t>HCS-2021-00008-14180-16022021-Factuur</t>
  </si>
  <si>
    <t>In the case of sales invoice 8, the VAT number has also changed. The second invoice shows the VAT number 0833.748.058 of Vercaro bvba at Kwatrechsteenweg 109 in 9230 Wetteren. I assume that the VAT number of the first sales invoice no. 8 is correct?
Can you adjust this on the 2nd invoice. (make sure to leave the VAT adjustment on the shipping costs)</t>
  </si>
  <si>
    <t>HCS-2021-00009-14517-25022021-Factuur</t>
  </si>
  <si>
    <t>For sales invoice 9, the VAT number on the modified version has also changed. I can't find any data about this (invalid due to cross-border transactions)
Where does the VAT number NL859550515B01 come from and should it not remain the VAT number of the first invoice 9 (855195526b01)?
Can you have this adjusted?</t>
  </si>
  <si>
    <t>HCS-2021-00017-16224-02042021-Factuur</t>
  </si>
  <si>
    <t xml:space="preserve">For invoice 2021-00017 to Transport Malgogne, in the second invoice (HCS-2021-00017) the vat number changed to FR21844395673. This number belongs to Sasu Tyche invest in Marseille and not to transport Malgogne.
Can you change this back to de vat number 60333221497 (belongs to Transport Malgogne) you can find this on the first invoice (HCS-HCS-2021-000017 order number).
So can you change the vat number on invoice HCS-2021-00017 (with has the intrastate code and weight listed on it) to the correct one and send it back to me. </t>
  </si>
  <si>
    <t>HCS-2021-00018-16225-02042021-Factuur</t>
  </si>
  <si>
    <t>For invoice nr 18 to De Boeck Tinne, the vat number on it also changed to that of Lavandi. (HCS-2021-00018) Can you change it to vat number: 0759.385.284, you can find it on the first invoice (HCS-2021-000018-16225)
So I need you to change the vat number on invoice HSC-2021-00018 (with 3 0) and send it back to me with the correct cat number.</t>
  </si>
  <si>
    <t>HCS-2021-00021-17071-14042021-Factuur</t>
  </si>
  <si>
    <t>For invoice number 21 to Vercaro bv. The vat number changed to that of De Boeck Tinne  0759.385.284, can you put the correct vat number on the invoice (HCS-2021-00021) and send it back to me.You can find the right data on invoice HCS-2021-000021-17071 (old one) Vercaro bv Rob Smedts Kwatrechtsteenweg 109 9230 Wetteren BTW-nummer: BE0833748058</t>
  </si>
  <si>
    <t>HCS-2021-00024-17091-16042021-Factuur</t>
  </si>
  <si>
    <t>For invoice 24 to Finest Artisan Pastry Vat RO28293083, this Romenian vat number is correct but the invoice is made with Belgium vat.
If you have a correct European vat number it's a intra-community vat (without vat) and not Belgium vat 21%
Two options: (discuss with Nihal on Monday maybe) I can process it this time with Belgium vat but make sure next time it with intra-community vat or you can change the invoice to intra-community vat but than the total amount of the invoice would be incorrect (24.50 instead of 29.65)</t>
  </si>
  <si>
    <t>HCS-2021-00025-16174-01042021-Factuur</t>
  </si>
  <si>
    <t>For Invoice HCS-2021-00025, the invoice is correct but the credit note that is attached to it is not. (HCS-2021-00025-2 --&gt; is not a correct number) A invoice and a credit note are two differed documents so the credit note can't have the same number as the invoice. 
So the credit note has it's on number (just take the next free number HCS-2021-000..  ). (the credit note can be in a later period/ month than the invoice, it's not a problem) Make sure it's the same as the invoice with this I mean if the invoice has 21% vat make sure the Credit note also is made with 21% - it's processed the same as the invoice but then in minus (in the opposite way)</t>
  </si>
  <si>
    <t>HCS-2021-00027-17243-26042021-Factuur</t>
  </si>
  <si>
    <t>For invoice number 2021-0027 to bm bv. The vat number on the second invoice changed to that of Artoah (0637.791.133) this is not correct. 
Can you change the vat number on the invoice HCS-2021-00027 to: (like on the first (old) invoice HCS-2021-000027-17243) BM bvba Karen Bosman Philippe Spethstraat 24
2950 Kapellen
BTW-nummer: BE0680651176</t>
  </si>
  <si>
    <t>HCS-2021-00042-17885-20052021-Factuur</t>
  </si>
  <si>
    <t>For invoice HCS-2021-00042 to Tycke invest. The vat number is not correct (FR60333221497 belongs to transport M Malgogne) Can you change it to the vat number below and send invoice HCS-2021-00042 back to me after the adjustment.
TYCHE-INVEST, ALAIN PRINCE 19 bd Almeras, 13009 MARSEILL, France, VAT Number: FR21844395673</t>
  </si>
  <si>
    <t>NOT RELATED TO A SPECIFIC INVOICE</t>
  </si>
  <si>
    <t>Have you received the mails I sent to Nihal over invoice VF2021-00003, VF-2021-00006, 2021-00008, 2021-00009 and 2021-00010
Invoice 3+6+8+9 is a wrong vat number and invoice 10 was changed to a credit note what is not possible.</t>
  </si>
  <si>
    <t>NOT RELATED TO HCS</t>
  </si>
  <si>
    <t>I have not received any intrastat codes for the goods sold with bol.com NL.
Do you now anything about the intrastate codes? Or should I ask Nihal on Monday?</t>
  </si>
  <si>
    <t>Action</t>
  </si>
  <si>
    <t>INVOICE RECRATED AS TAX EXEMPTED. PRICE DIFFERENCE ADDED TO SHIPPING PRICE</t>
  </si>
  <si>
    <t>CURRENT CREDIT NOTES ARRANGED AS IT EXPLAINED. CREDIT NOTES DOCUMENT NUMBER WILL BE PRODUCED AS INVOICE NUMBER FROM NOW ON</t>
  </si>
  <si>
    <t>VAT CORRECTED + CREDIT NOTE CORRECTED</t>
  </si>
  <si>
    <t>HCS-2021-00006-13931-05022021-Factuur</t>
  </si>
  <si>
    <t>refunds</t>
  </si>
  <si>
    <t xml:space="preserve">1 - 16174 - 09.04.21 </t>
  </si>
  <si>
    <t>2 - 15557 - 15.04.21</t>
  </si>
  <si>
    <t xml:space="preserve">3 - 15401 - 04.05.21 </t>
  </si>
  <si>
    <t>7 - 18156 - 08.07.21 cancelled - refunded OK</t>
  </si>
  <si>
    <t>6 - 18187 - 30.06.21 cancelled - refunded OK</t>
  </si>
  <si>
    <t>5 - 17764 - 14.05.21 cancelled - refunded OK</t>
  </si>
  <si>
    <t>20734 - 22.06.21 payment failed</t>
  </si>
  <si>
    <t>19510 - 19.07.21 payment failed</t>
  </si>
  <si>
    <t>18186 - 09.06.21 payment failed</t>
  </si>
  <si>
    <t>19489 - 15.06.21 payment failed</t>
  </si>
  <si>
    <t>4 - 17766 - 14.05.21 cancelled - refunded OK</t>
  </si>
  <si>
    <t>REFUNDED</t>
  </si>
  <si>
    <t>CANCELED</t>
  </si>
  <si>
    <t>FAILED</t>
  </si>
  <si>
    <t xml:space="preserve">I’m missing a number of invoices, is it possible to send the invoices below to me:
-	HCS-2021-00043 it's a canceled order (failed, cancelled or out of time payment)
-	HCS-2021-00045 it's a canceled order (failed, cancelled or out of time payment)
-	HCS-2021-00051 it's a canceled order (failed, cancelled or out of time payment)
-	HCS-2021-00053 it's a canceled order (failed, cancelled or out of time payment)
-	HCS-2021-00061 completed
-	HCS-2021-00064 completed 
-	HCS-2021-00065 in process
-	HCS-2021-00066 completed
-	HCS-2021-00067 this orders is on hold
-	HCS-2021-00068 this order is in process
-	HCS-2021-00069 this one is not exist – skipped number
-	HCS-2021-00070 this order is in in process
-	HCS-2021-00073 completed </t>
  </si>
  <si>
    <t>Nihal sent some info</t>
  </si>
  <si>
    <t>Sended</t>
  </si>
  <si>
    <t>first status</t>
  </si>
  <si>
    <t>canceled at 07/07/2021 but no credit note generated</t>
  </si>
  <si>
    <t>canceled at 30/06/2021 but no credit note generated</t>
  </si>
  <si>
    <t>canceled at 08/07/2021 but no credit note generated</t>
  </si>
  <si>
    <t>After your request from Priscilla Lemmens (email date:  16.07.2021)</t>
  </si>
  <si>
    <t>still no credit note generated</t>
  </si>
  <si>
    <t>After Final Correction as Ms. Els requested</t>
  </si>
  <si>
    <t>HCS-2021-CreditNote-00003-15401</t>
  </si>
  <si>
    <t>HCS-2021-CreditNote-00002-15557</t>
  </si>
  <si>
    <t>HCS-2021-CreditNote-00001-16174</t>
  </si>
  <si>
    <t>HCS-2021-CreditNote-00004-17766</t>
  </si>
  <si>
    <t>HCS-2021-CreditNote-00005-17764</t>
  </si>
  <si>
    <t>HCS-2021-CreditNote-00006-18187</t>
  </si>
  <si>
    <t>HCS-2021-CreditNote-00007-18156</t>
  </si>
  <si>
    <t>Order Number</t>
  </si>
  <si>
    <t>refunded at 15.04.2021 named as 00001-15042021-15557-CreditNote</t>
  </si>
  <si>
    <t>refunded at 9.04.2021 named as 00002-09042021-16174-CreditNote</t>
  </si>
  <si>
    <t>refunded at 4.05.2021 named as 00003-04052021-15401-CreditNote</t>
  </si>
  <si>
    <t>named as: HCS-2021-00079-16174-16072021-Credit-Note (but never sent to customer in with this number)</t>
  </si>
  <si>
    <t>named as: HCS-2021-00078-15557-16072021-Credit-Note (but never sent to customer in with this number)</t>
  </si>
  <si>
    <t>named as: HCS-2021-00069-15401-16072021-Credit-Note (but never sent to customer in with this number)</t>
  </si>
  <si>
    <t>SKIPPED</t>
  </si>
  <si>
    <t>003391605B73</t>
  </si>
  <si>
    <t>0751536006</t>
  </si>
  <si>
    <t>294825877</t>
  </si>
  <si>
    <t>800905040B01</t>
  </si>
  <si>
    <t>COMPLETED</t>
  </si>
  <si>
    <t>COMPLETED (former order number 15080)</t>
  </si>
  <si>
    <t>COMPLETED (former order number 18227)</t>
  </si>
  <si>
    <t>COMPLETED (former order number 18229)</t>
  </si>
  <si>
    <t>COMPLETED (former order number 18228)</t>
  </si>
  <si>
    <t>IN PROCESS</t>
  </si>
  <si>
    <t>192168454</t>
  </si>
  <si>
    <t>134892636</t>
  </si>
  <si>
    <t>123456789</t>
  </si>
  <si>
    <t>814325075B01</t>
  </si>
  <si>
    <t xml:space="preserve">INSERT INTO wp_c9296efc0a_postmeta (post_id, meta_key , meta_value) SELECT * FROM ( SELECT 36115, 'is_vat_exempt', 'xxxxxx') AS tmp_name WHERE NOT EXISTS (SELECT meta_id FROM wp_c9296efc0a_postmeta WHERE post_id = 36115 AND meta_key = 'is_vat_exempt') LIMIT 1;_x000D_
UPDATE wp_c9296efc0a_postmeta SET meta_value = 'yes' WHERE post_id = 36115 AND meta_key = 'is_vat_exempt';_x000D_
_x000D_
INSERT INTO wp_c9296efc0a_postmeta (post_id, meta_key , meta_value) SELECT * FROM ( SELECT 36115, 'vat_compliance_country_info', 'xxxxxx') AS tmp_name WHERE NOT EXISTS (SELECT meta_id FROM wp_c9296efc0a_postmeta WHERE post_id = 36115 AND meta_key = 'vat_compliance_country_info') LIMIT 1;_x000D_
UPDATE wp_c9296efc0a_postmeta SET meta_value = 'a:3:{s:6:"source";s:11:"woocommerce";s:4:"data";s:2:"NL";s:15:"taxable_address";a:4:{i:0;s:2:"NL";i:1;s:0:"";i:2;s:0:"";i:3;s:0:"";}}' WHERE post_id = 36115 AND meta_key = 'vat_compliance_country_info';_x000D_
_x000D_
INSERT INTO wp_c9296efc0a_postmeta (post_id, meta_key , meta_value) SELECT * FROM ( SELECT 36115, 'VAT Number', 'xxxxxx') AS tmp_name WHERE NOT EXISTS (SELECT meta_id FROM wp_c9296efc0a_postmeta WHERE post_id = 36115 AND meta_key = 'VAT Number') LIMIT 1;_x000D_
UPDATE wp_c9296efc0a_postmeta SET meta_value = 'NL 814325075B01' WHERE post_id = 36115 AND meta_key = 'VAT Number';_x000D_
_x000D_
INSERT INTO wp_c9296efc0a_postmeta (post_id, meta_key , meta_value) SELECT * FROM ( SELECT 36115, 'Valid VAT Number', 'xxxxxx') AS tmp_name WHERE NOT EXISTS (SELECT meta_id FROM wp_c9296efc0a_postmeta WHERE post_id = 36115 AND meta_key = 'Valid VAT Number') LIMIT 1;_x000D_
UPDATE wp_c9296efc0a_postmeta SET meta_value = 'True' WHERE post_id = 36115 AND meta_key = 'Valid VAT Number';_x000D_
_x000D_
INSERT INTO wp_c9296efc0a_postmeta (post_id, meta_key , meta_value) SELECT * FROM ( SELECT 36115, 'VIES Response', 'xxxxxx') AS tmp_name WHERE NOT EXISTS (SELECT meta_id FROM wp_c9296efc0a_postmeta WHERE post_id = 36115 AND meta_key = 'VIES Response') LIMIT 1;_x000D_
UPDATE wp_c9296efc0a_postmeta SET meta_value = 'Injected' WHERE post_id = 36115 AND meta_key = 'VIES Response';_x000D_
_x000D_
INSERT INTO wp_c9296efc0a_postmeta (post_id, meta_key , meta_value) SELECT * FROM ( SELECT 36115, 'VAT number validated', 'xxxxxx') AS tmp_name WHERE NOT EXISTS (SELECT meta_id FROM wp_c9296efc0a_postmeta WHERE post_id = 36115 AND meta_key = 'VAT number validated') LIMIT 1;_x000D_
UPDATE wp_c9296efc0a_postmeta SET meta_value = 'True' WHERE post_id = 36115 AND meta_key = 'VAT number validated';_x000D_
_x000D_
INSERT INTO wp_c9296efc0a_postmeta (post_id, meta_key , meta_value) SELECT * FROM ( SELECT 36115, 'vat_compliance_vat_paid', 'xxxxxx') AS tmp_name WHERE NOT EXISTS (SELECT meta_id FROM wp_c9296efc0a_postmeta WHERE post_id = 36115 AND meta_key = 'vat_compliance_vat_paid') LIMIT 1;_x000D_
UPDATE wp_c9296efc0a_postmeta SET meta_value = 'a:10:{s:8:"by_rates";a:0:{}s:11:"items_total";d:0;s:14:"shipping_total";d:0;s:5:"total";d:0;s:8:"currency";s:3:"EUR";s:12:"base_country";s:2:"BE";s:13:"base_currency";s:3:"EUR";s:25:"items_total_base_currency";d:0;s:28:"shipping_total_base_currency";d:0;s:19:"total_base_currency";d:0;}' WHERE post_id = 36115 AND meta_key = 'vat_compliance_vat_paid';_x000D_
_x000D_
INSERT INTO wp_c9296efc0a_postmeta (post_id, meta_key , meta_value) SELECT * FROM ( SELECT 36115, 'wceuvat_conversion_rates', 'xxxxxx') AS tmp_name WHERE NOT EXISTS (SELECT meta_id FROM wp_c9296efc0a_postmeta WHERE post_id = 36115 AND meta_key = 'wceuvat_conversion_rates') LIMIT 1;_x000D_
UPDATE wp_c9296efc0a_postmeta SET meta_value = 'a:2:{s:4:"meta";a:1:{s:14:"order_currency";s:3:"EUR";}s:5:"rates";a:0:{}}' WHERE post_id = 36115 AND meta_key = 'wceuvat_conversion_rates';_x000D_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</si>
</sst>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10" x14ac:knownFonts="1">
    <font>
      <sz val="11"/>
      <color theme="1"/>
      <name val="Calibri"/>
      <family val="2"/>
      <charset val="162"/>
      <scheme val="minor"/>
    </font>
    <font>
      <b/>
      <sz val="11"/>
      <color theme="1"/>
      <name val="Calibri"/>
      <family val="2"/>
      <charset val="162"/>
      <scheme val="minor"/>
    </font>
    <font>
      <sz val="11"/>
      <color rgb="FF1D2327"/>
      <name val="Arial"/>
      <family val="2"/>
      <charset val="162"/>
    </font>
    <font>
      <b/>
      <sz val="10"/>
      <color theme="1"/>
      <name val="Calibri"/>
      <family val="2"/>
      <charset val="162"/>
      <scheme val="minor"/>
    </font>
    <font>
      <b/>
      <sz val="24"/>
      <color theme="1"/>
      <name val="Calibri"/>
      <family val="2"/>
      <charset val="162"/>
      <scheme val="minor"/>
    </font>
    <font>
      <b/>
      <sz val="48"/>
      <color theme="1"/>
      <name val="Calibri"/>
      <family val="2"/>
      <charset val="162"/>
      <scheme val="minor"/>
    </font>
    <font>
      <b/>
      <sz val="8"/>
      <color theme="1"/>
      <name val="Calibri"/>
      <family val="2"/>
      <charset val="162"/>
      <scheme val="minor"/>
    </font>
    <font>
      <sz val="11"/>
      <color theme="1"/>
      <name val="Calibri"/>
      <family val="2"/>
      <charset val="162"/>
      <scheme val="minor"/>
    </font>
    <font>
      <sz val="8"/>
      <name val="Calibri"/>
      <family val="2"/>
      <charset val="162"/>
      <scheme val="minor"/>
    </font>
    <font>
      <sz val="10"/>
      <color theme="1"/>
      <name val="Calibri"/>
      <family val="2"/>
      <charset val="162"/>
      <scheme val="minor"/>
    </font>
  </fonts>
  <fills count="9">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rgb="FF92D050"/>
        <bgColor indexed="64"/>
      </patternFill>
    </fill>
    <fill>
      <patternFill patternType="solid">
        <fgColor theme="7" tint="-0.499984740745262"/>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7" fillId="0" borderId="0" applyFont="0" applyFill="0" applyBorder="0" applyAlignment="0" applyProtection="0"/>
  </cellStyleXfs>
  <cellXfs count="73">
    <xf numFmtId="0" fontId="0" fillId="0" borderId="0" xfId="0"/>
    <xf numFmtId="0" fontId="0" fillId="0" borderId="0" xfId="0" applyAlignment="1">
      <alignment vertical="top" wrapText="1"/>
    </xf>
    <xf numFmtId="0" fontId="0" fillId="0" borderId="0" xfId="0" applyAlignment="1">
      <alignment vertical="top"/>
    </xf>
    <xf numFmtId="0" fontId="1" fillId="3" borderId="1" xfId="0" applyFont="1" applyFill="1" applyBorder="1" applyAlignment="1">
      <alignment horizontal="left" vertical="center" wrapText="1"/>
    </xf>
    <xf numFmtId="0" fontId="0" fillId="0" borderId="0" xfId="0" applyFont="1" applyAlignment="1">
      <alignment vertical="center" wrapText="1"/>
    </xf>
    <xf numFmtId="0" fontId="2" fillId="2" borderId="1"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0" fillId="0" borderId="0" xfId="0" applyFont="1" applyAlignment="1">
      <alignment vertical="top" wrapText="1"/>
    </xf>
    <xf numFmtId="0" fontId="0" fillId="0" borderId="0" xfId="0" applyFont="1" applyAlignment="1">
      <alignment horizontal="center" vertical="center" wrapText="1"/>
    </xf>
    <xf numFmtId="0" fontId="3" fillId="0" borderId="1" xfId="0" applyFont="1" applyBorder="1" applyAlignment="1">
      <alignment horizontal="left" vertical="center" wrapText="1"/>
    </xf>
    <xf numFmtId="0" fontId="3" fillId="0" borderId="1" xfId="0" applyFont="1" applyBorder="1" applyAlignment="1">
      <alignment horizontal="center" vertical="center" wrapText="1"/>
    </xf>
    <xf numFmtId="49" fontId="3" fillId="0" borderId="1" xfId="0" applyNumberFormat="1" applyFont="1" applyBorder="1" applyAlignment="1">
      <alignment horizontal="center" vertical="center" wrapText="1"/>
    </xf>
    <xf numFmtId="0" fontId="5" fillId="0" borderId="0" xfId="0" applyFont="1" applyAlignment="1">
      <alignment horizontal="center" vertical="center"/>
    </xf>
    <xf numFmtId="44" fontId="3" fillId="0" borderId="1" xfId="1" applyFont="1" applyBorder="1" applyAlignment="1">
      <alignment horizontal="center" vertical="center" wrapText="1"/>
    </xf>
    <xf numFmtId="44" fontId="9" fillId="0" borderId="1" xfId="1" applyFont="1" applyFill="1" applyBorder="1" applyAlignment="1">
      <alignment horizontal="center" vertical="center" wrapText="1"/>
    </xf>
    <xf numFmtId="44" fontId="9" fillId="0" borderId="1" xfId="1" applyFont="1" applyBorder="1" applyAlignment="1">
      <alignment horizontal="center" vertical="center" wrapText="1"/>
    </xf>
    <xf numFmtId="44" fontId="9" fillId="0" borderId="0" xfId="1" applyFont="1" applyAlignment="1">
      <alignment horizontal="center" vertical="center" wrapText="1"/>
    </xf>
    <xf numFmtId="0" fontId="9" fillId="0" borderId="0" xfId="0" applyFont="1" applyAlignment="1">
      <alignment horizontal="left" vertical="center" wrapText="1"/>
    </xf>
    <xf numFmtId="0" fontId="9" fillId="0" borderId="1" xfId="0" applyFont="1" applyFill="1" applyBorder="1" applyAlignment="1">
      <alignment horizontal="left"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0" applyFont="1" applyFill="1" applyAlignment="1">
      <alignment horizontal="left" vertical="center" wrapText="1"/>
    </xf>
    <xf numFmtId="0" fontId="9" fillId="0" borderId="1" xfId="0" applyFont="1" applyBorder="1" applyAlignment="1">
      <alignment vertical="center"/>
    </xf>
    <xf numFmtId="0" fontId="9" fillId="0" borderId="1" xfId="0" applyFont="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0" xfId="0" applyFont="1" applyAlignment="1">
      <alignment horizontal="center" vertical="center" wrapText="1"/>
    </xf>
    <xf numFmtId="49" fontId="9" fillId="0" borderId="0" xfId="0" applyNumberFormat="1" applyFont="1" applyAlignment="1">
      <alignment horizontal="center" vertical="center" wrapText="1"/>
    </xf>
    <xf numFmtId="0" fontId="1" fillId="0" borderId="0" xfId="0" applyFont="1" applyAlignment="1">
      <alignment vertical="top" wrapText="1"/>
    </xf>
    <xf numFmtId="0" fontId="0" fillId="4" borderId="0" xfId="0" applyFill="1" applyAlignment="1">
      <alignment vertical="top" wrapText="1"/>
    </xf>
    <xf numFmtId="44" fontId="3" fillId="4" borderId="1" xfId="1" applyFont="1" applyFill="1" applyBorder="1" applyAlignment="1">
      <alignment horizontal="center" vertical="center" wrapText="1"/>
    </xf>
    <xf numFmtId="44" fontId="3" fillId="4" borderId="1" xfId="1" applyFont="1" applyFill="1" applyBorder="1" applyAlignment="1">
      <alignment horizontal="left" vertical="center" wrapText="1"/>
    </xf>
    <xf numFmtId="44" fontId="9" fillId="4" borderId="1" xfId="1" applyFont="1" applyFill="1" applyBorder="1" applyAlignment="1">
      <alignment horizontal="center" vertical="center" wrapText="1"/>
    </xf>
    <xf numFmtId="44" fontId="9" fillId="4" borderId="1" xfId="1" applyFont="1" applyFill="1" applyBorder="1" applyAlignment="1">
      <alignment horizontal="left" vertical="center" wrapText="1"/>
    </xf>
    <xf numFmtId="44" fontId="9" fillId="4" borderId="0" xfId="1" applyFont="1" applyFill="1" applyAlignment="1">
      <alignment horizontal="center" vertical="center" wrapText="1"/>
    </xf>
    <xf numFmtId="44" fontId="9" fillId="4" borderId="0" xfId="1" applyFont="1" applyFill="1" applyAlignment="1">
      <alignment horizontal="left" vertical="center" wrapText="1"/>
    </xf>
    <xf numFmtId="0" fontId="9" fillId="0" borderId="1" xfId="0" applyFont="1" applyFill="1" applyBorder="1" applyAlignment="1">
      <alignment vertical="center" wrapText="1"/>
    </xf>
    <xf numFmtId="0" fontId="3" fillId="0" borderId="1" xfId="0" applyFont="1" applyBorder="1" applyAlignment="1">
      <alignment horizontal="right" vertical="center" wrapText="1"/>
    </xf>
    <xf numFmtId="0" fontId="9" fillId="0" borderId="1" xfId="0" applyFont="1" applyFill="1" applyBorder="1" applyAlignment="1">
      <alignment horizontal="right" vertical="center"/>
    </xf>
    <xf numFmtId="0" fontId="9" fillId="0" borderId="1" xfId="0" applyFont="1" applyBorder="1" applyAlignment="1">
      <alignment horizontal="right" vertical="center"/>
    </xf>
    <xf numFmtId="0" fontId="9" fillId="0" borderId="1" xfId="0" applyFont="1" applyBorder="1" applyAlignment="1">
      <alignment horizontal="right" vertical="center" wrapText="1"/>
    </xf>
    <xf numFmtId="0" fontId="9" fillId="0" borderId="0" xfId="0" applyFont="1" applyAlignment="1">
      <alignment horizontal="right" vertical="center" wrapText="1"/>
    </xf>
    <xf numFmtId="0" fontId="9" fillId="5" borderId="1" xfId="0" applyFont="1" applyFill="1" applyBorder="1" applyAlignment="1">
      <alignment horizontal="left" vertical="center" wrapText="1"/>
    </xf>
    <xf numFmtId="0" fontId="9" fillId="5" borderId="1" xfId="0" applyFont="1" applyFill="1" applyBorder="1" applyAlignment="1">
      <alignment horizontal="right" vertical="center"/>
    </xf>
    <xf numFmtId="0" fontId="9" fillId="5" borderId="1" xfId="0" applyFont="1" applyFill="1" applyBorder="1" applyAlignment="1">
      <alignment horizontal="center" vertical="center" wrapText="1"/>
    </xf>
    <xf numFmtId="49" fontId="9" fillId="5" borderId="1" xfId="0" applyNumberFormat="1" applyFont="1" applyFill="1" applyBorder="1" applyAlignment="1">
      <alignment horizontal="center" vertical="center" wrapText="1"/>
    </xf>
    <xf numFmtId="44" fontId="9" fillId="5" borderId="1" xfId="1" applyFont="1" applyFill="1" applyBorder="1" applyAlignment="1">
      <alignment horizontal="center" vertical="center" wrapText="1"/>
    </xf>
    <xf numFmtId="44" fontId="9" fillId="5" borderId="1" xfId="1" applyFont="1" applyFill="1" applyBorder="1" applyAlignment="1">
      <alignment horizontal="left" vertical="center" wrapText="1"/>
    </xf>
    <xf numFmtId="0" fontId="9" fillId="5" borderId="1" xfId="0" applyFont="1" applyFill="1" applyBorder="1" applyAlignment="1">
      <alignment vertical="center" wrapText="1"/>
    </xf>
    <xf numFmtId="0" fontId="1" fillId="0" borderId="1" xfId="0" applyFont="1" applyBorder="1" applyAlignment="1">
      <alignment horizontal="left" vertical="top" wrapText="1"/>
    </xf>
    <xf numFmtId="0" fontId="0" fillId="0" borderId="0" xfId="0" applyAlignment="1">
      <alignment horizontal="left" vertical="top" wrapText="1"/>
    </xf>
    <xf numFmtId="0" fontId="0" fillId="0" borderId="1" xfId="0" applyBorder="1" applyAlignment="1">
      <alignment horizontal="left" vertical="top" wrapText="1"/>
    </xf>
    <xf numFmtId="0" fontId="0" fillId="6" borderId="1" xfId="0" applyFill="1" applyBorder="1" applyAlignment="1">
      <alignment horizontal="left" vertical="top" wrapText="1"/>
    </xf>
    <xf numFmtId="0" fontId="9" fillId="7" borderId="1" xfId="0" applyFont="1" applyFill="1" applyBorder="1" applyAlignment="1">
      <alignment horizontal="left" vertical="center" wrapText="1"/>
    </xf>
    <xf numFmtId="0" fontId="9" fillId="7" borderId="1" xfId="0" applyFont="1" applyFill="1" applyBorder="1" applyAlignment="1">
      <alignment horizontal="right" vertical="center"/>
    </xf>
    <xf numFmtId="0" fontId="9" fillId="7" borderId="1" xfId="0" applyFont="1" applyFill="1" applyBorder="1" applyAlignment="1">
      <alignment horizontal="center" vertical="center" wrapText="1"/>
    </xf>
    <xf numFmtId="49" fontId="9" fillId="7" borderId="1" xfId="0" applyNumberFormat="1" applyFont="1" applyFill="1" applyBorder="1" applyAlignment="1">
      <alignment horizontal="center" vertical="center" wrapText="1"/>
    </xf>
    <xf numFmtId="44" fontId="9" fillId="7" borderId="1" xfId="1" applyFont="1" applyFill="1" applyBorder="1" applyAlignment="1">
      <alignment horizontal="center" vertical="center" wrapText="1"/>
    </xf>
    <xf numFmtId="44" fontId="9" fillId="7" borderId="1" xfId="1" applyFont="1" applyFill="1" applyBorder="1" applyAlignment="1">
      <alignment horizontal="left" vertical="center" wrapText="1"/>
    </xf>
    <xf numFmtId="0" fontId="9" fillId="7" borderId="1" xfId="0" applyFont="1" applyFill="1" applyBorder="1" applyAlignment="1">
      <alignment vertical="center" wrapText="1"/>
    </xf>
    <xf numFmtId="0" fontId="1" fillId="0" borderId="1" xfId="0" applyFont="1" applyBorder="1" applyAlignment="1">
      <alignment horizontal="center" vertical="top" wrapText="1"/>
    </xf>
    <xf numFmtId="14" fontId="0" fillId="0" borderId="1" xfId="0" applyNumberFormat="1" applyFill="1" applyBorder="1" applyAlignment="1">
      <alignment horizontal="left" vertical="top" wrapText="1"/>
    </xf>
    <xf numFmtId="0" fontId="0" fillId="0" borderId="1" xfId="0" applyFill="1" applyBorder="1" applyAlignment="1">
      <alignment horizontal="left" vertical="top" wrapText="1"/>
    </xf>
    <xf numFmtId="0" fontId="9" fillId="0" borderId="1" xfId="0" applyFont="1" applyBorder="1" applyAlignment="1">
      <alignment horizontal="left" vertical="center" wrapText="1"/>
    </xf>
    <xf numFmtId="0" fontId="9" fillId="0" borderId="1" xfId="0" applyFont="1" applyBorder="1" applyAlignment="1">
      <alignment vertical="center" wrapText="1"/>
    </xf>
    <xf numFmtId="0" fontId="9" fillId="8" borderId="1" xfId="0" applyFont="1" applyFill="1" applyBorder="1" applyAlignment="1">
      <alignment horizontal="left" vertical="center" wrapText="1"/>
    </xf>
    <xf numFmtId="0" fontId="9" fillId="8" borderId="1" xfId="0" applyFont="1" applyFill="1" applyBorder="1" applyAlignment="1">
      <alignment horizontal="right" vertical="center"/>
    </xf>
    <xf numFmtId="0" fontId="9" fillId="8" borderId="1" xfId="0" applyFont="1" applyFill="1" applyBorder="1" applyAlignment="1">
      <alignment horizontal="center" vertical="center" wrapText="1"/>
    </xf>
    <xf numFmtId="49" fontId="9" fillId="8" borderId="1" xfId="0" applyNumberFormat="1" applyFont="1" applyFill="1" applyBorder="1" applyAlignment="1">
      <alignment horizontal="center" vertical="center" wrapText="1"/>
    </xf>
    <xf numFmtId="44" fontId="9" fillId="8" borderId="1" xfId="1" applyFont="1" applyFill="1" applyBorder="1" applyAlignment="1">
      <alignment horizontal="center" vertical="center" wrapText="1"/>
    </xf>
    <xf numFmtId="44" fontId="9" fillId="8" borderId="1" xfId="1" applyFont="1" applyFill="1" applyBorder="1" applyAlignment="1">
      <alignment horizontal="left" vertical="center" wrapText="1"/>
    </xf>
    <xf numFmtId="0" fontId="9" fillId="8" borderId="1" xfId="0" applyFont="1" applyFill="1" applyBorder="1" applyAlignment="1">
      <alignment vertical="center" wrapText="1"/>
    </xf>
    <xf numFmtId="0" fontId="4" fillId="0" borderId="0" xfId="0" applyFont="1" applyAlignment="1">
      <alignment horizontal="center" wrapText="1"/>
    </xf>
    <xf numFmtId="0" fontId="6" fillId="0" borderId="0" xfId="0" applyFont="1" applyAlignment="1">
      <alignment horizontal="left" vertical="top" wrapText="1"/>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9F64E-51C8-4574-A7E6-AEC7F07E8AD7}">
  <sheetPr codeName="Sayfa5"/>
  <dimension ref="A1:G28"/>
  <sheetViews>
    <sheetView workbookViewId="0">
      <selection activeCell="C25" sqref="C25"/>
    </sheetView>
  </sheetViews>
  <sheetFormatPr defaultColWidth="8.88671875" defaultRowHeight="14.4" x14ac:dyDescent="0.3"/>
  <cols>
    <col min="1" max="1" width="2.88671875" style="49" bestFit="1" customWidth="1"/>
    <col min="2" max="2" width="13.6640625" style="49" customWidth="1"/>
    <col min="3" max="3" width="83.6640625" style="49" customWidth="1"/>
    <col min="4" max="4" width="16.33203125" style="49" customWidth="1"/>
    <col min="5" max="5" width="29.88671875" style="49" customWidth="1"/>
    <col min="6" max="6" width="32.6640625" style="49" customWidth="1"/>
    <col min="7" max="7" width="34.88671875" style="49" customWidth="1"/>
    <col min="8" max="16384" width="8.88671875" style="49"/>
  </cols>
  <sheetData>
    <row r="1" spans="1:4" ht="28.8" x14ac:dyDescent="0.3">
      <c r="A1" s="48" t="s">
        <v>90</v>
      </c>
      <c r="B1" s="48" t="s">
        <v>91</v>
      </c>
      <c r="C1" s="48" t="s">
        <v>92</v>
      </c>
      <c r="D1" s="49" t="s">
        <v>118</v>
      </c>
    </row>
    <row r="2" spans="1:4" ht="57.6" x14ac:dyDescent="0.3">
      <c r="A2" s="50">
        <v>1</v>
      </c>
      <c r="B2" s="51" t="s">
        <v>93</v>
      </c>
      <c r="C2" s="50" t="s">
        <v>94</v>
      </c>
      <c r="D2" s="49" t="s">
        <v>88</v>
      </c>
    </row>
    <row r="3" spans="1:4" ht="57.6" x14ac:dyDescent="0.3">
      <c r="A3" s="50">
        <v>2</v>
      </c>
      <c r="B3" s="51" t="s">
        <v>122</v>
      </c>
      <c r="C3" s="50" t="s">
        <v>95</v>
      </c>
      <c r="D3" s="49" t="s">
        <v>88</v>
      </c>
    </row>
    <row r="4" spans="1:4" ht="72" x14ac:dyDescent="0.3">
      <c r="A4" s="50">
        <v>3</v>
      </c>
      <c r="B4" s="51" t="s">
        <v>96</v>
      </c>
      <c r="C4" s="50" t="s">
        <v>97</v>
      </c>
      <c r="D4" s="49" t="s">
        <v>88</v>
      </c>
    </row>
    <row r="5" spans="1:4" ht="72" x14ac:dyDescent="0.3">
      <c r="A5" s="50">
        <v>4</v>
      </c>
      <c r="B5" s="51" t="s">
        <v>98</v>
      </c>
      <c r="C5" s="50" t="s">
        <v>99</v>
      </c>
      <c r="D5" s="49" t="s">
        <v>88</v>
      </c>
    </row>
    <row r="6" spans="1:4" ht="100.8" x14ac:dyDescent="0.3">
      <c r="A6" s="50">
        <v>5</v>
      </c>
      <c r="B6" s="51" t="s">
        <v>100</v>
      </c>
      <c r="C6" s="50" t="s">
        <v>101</v>
      </c>
      <c r="D6" s="49" t="s">
        <v>88</v>
      </c>
    </row>
    <row r="7" spans="1:4" ht="72" x14ac:dyDescent="0.3">
      <c r="A7" s="50">
        <v>6</v>
      </c>
      <c r="B7" s="51" t="s">
        <v>102</v>
      </c>
      <c r="C7" s="50" t="s">
        <v>103</v>
      </c>
      <c r="D7" s="49" t="s">
        <v>88</v>
      </c>
    </row>
    <row r="8" spans="1:4" ht="57.6" x14ac:dyDescent="0.3">
      <c r="A8" s="50">
        <v>7</v>
      </c>
      <c r="B8" s="51" t="s">
        <v>104</v>
      </c>
      <c r="C8" s="50" t="s">
        <v>105</v>
      </c>
      <c r="D8" s="49" t="s">
        <v>88</v>
      </c>
    </row>
    <row r="9" spans="1:4" ht="100.8" x14ac:dyDescent="0.3">
      <c r="A9" s="50">
        <v>8</v>
      </c>
      <c r="B9" s="51" t="s">
        <v>106</v>
      </c>
      <c r="C9" s="50" t="s">
        <v>107</v>
      </c>
      <c r="D9" s="49" t="s">
        <v>119</v>
      </c>
    </row>
    <row r="10" spans="1:4" ht="129.6" x14ac:dyDescent="0.3">
      <c r="A10" s="50">
        <v>9</v>
      </c>
      <c r="B10" s="51" t="s">
        <v>108</v>
      </c>
      <c r="C10" s="50" t="s">
        <v>109</v>
      </c>
      <c r="D10" s="49" t="s">
        <v>120</v>
      </c>
    </row>
    <row r="11" spans="1:4" ht="86.4" x14ac:dyDescent="0.3">
      <c r="A11" s="50">
        <v>10</v>
      </c>
      <c r="B11" s="51" t="s">
        <v>110</v>
      </c>
      <c r="C11" s="50" t="s">
        <v>111</v>
      </c>
      <c r="D11" s="49" t="s">
        <v>88</v>
      </c>
    </row>
    <row r="12" spans="1:4" ht="72" x14ac:dyDescent="0.3">
      <c r="A12" s="50">
        <v>11</v>
      </c>
      <c r="B12" s="51" t="s">
        <v>112</v>
      </c>
      <c r="C12" s="50" t="s">
        <v>113</v>
      </c>
      <c r="D12" s="49" t="s">
        <v>88</v>
      </c>
    </row>
    <row r="13" spans="1:4" ht="57.6" x14ac:dyDescent="0.3">
      <c r="A13" s="50">
        <v>12</v>
      </c>
      <c r="B13" s="51" t="s">
        <v>114</v>
      </c>
      <c r="C13" s="50" t="s">
        <v>115</v>
      </c>
      <c r="D13" s="49" t="s">
        <v>121</v>
      </c>
    </row>
    <row r="14" spans="1:4" ht="201.6" x14ac:dyDescent="0.3">
      <c r="A14" s="50"/>
      <c r="B14" s="51" t="s">
        <v>114</v>
      </c>
      <c r="C14" s="50" t="s">
        <v>138</v>
      </c>
      <c r="D14" s="49" t="s">
        <v>140</v>
      </c>
    </row>
    <row r="15" spans="1:4" ht="28.8" x14ac:dyDescent="0.3">
      <c r="A15" s="50"/>
      <c r="B15" s="51" t="s">
        <v>116</v>
      </c>
      <c r="C15" s="50" t="s">
        <v>117</v>
      </c>
      <c r="D15" s="49" t="s">
        <v>139</v>
      </c>
    </row>
    <row r="16" spans="1:4" x14ac:dyDescent="0.3">
      <c r="C16" s="49" t="s">
        <v>123</v>
      </c>
    </row>
    <row r="17" spans="3:7" ht="28.8" x14ac:dyDescent="0.3">
      <c r="C17" s="50"/>
      <c r="D17" s="59" t="s">
        <v>155</v>
      </c>
      <c r="E17" s="48" t="s">
        <v>141</v>
      </c>
      <c r="F17" s="48" t="s">
        <v>145</v>
      </c>
      <c r="G17" s="48" t="s">
        <v>147</v>
      </c>
    </row>
    <row r="18" spans="3:7" ht="43.2" x14ac:dyDescent="0.3">
      <c r="C18" s="50" t="s">
        <v>124</v>
      </c>
      <c r="D18" s="59">
        <v>16174</v>
      </c>
      <c r="E18" s="60" t="s">
        <v>157</v>
      </c>
      <c r="F18" s="61" t="s">
        <v>159</v>
      </c>
      <c r="G18" s="61" t="s">
        <v>150</v>
      </c>
    </row>
    <row r="19" spans="3:7" ht="43.2" x14ac:dyDescent="0.3">
      <c r="C19" s="50" t="s">
        <v>125</v>
      </c>
      <c r="D19" s="59">
        <v>15557</v>
      </c>
      <c r="E19" s="60" t="s">
        <v>156</v>
      </c>
      <c r="F19" s="61" t="s">
        <v>160</v>
      </c>
      <c r="G19" s="61" t="s">
        <v>149</v>
      </c>
    </row>
    <row r="20" spans="3:7" ht="43.2" x14ac:dyDescent="0.3">
      <c r="C20" s="50" t="s">
        <v>126</v>
      </c>
      <c r="D20" s="59">
        <v>15401</v>
      </c>
      <c r="E20" s="60" t="s">
        <v>158</v>
      </c>
      <c r="F20" s="61" t="s">
        <v>161</v>
      </c>
      <c r="G20" s="61" t="s">
        <v>148</v>
      </c>
    </row>
    <row r="21" spans="3:7" ht="28.8" x14ac:dyDescent="0.3">
      <c r="C21" s="50" t="s">
        <v>134</v>
      </c>
      <c r="D21" s="59">
        <v>17666</v>
      </c>
      <c r="E21" s="50" t="s">
        <v>142</v>
      </c>
      <c r="F21" s="50" t="s">
        <v>146</v>
      </c>
      <c r="G21" s="50" t="s">
        <v>151</v>
      </c>
    </row>
    <row r="22" spans="3:7" ht="28.8" x14ac:dyDescent="0.3">
      <c r="C22" s="50" t="s">
        <v>129</v>
      </c>
      <c r="D22" s="59">
        <v>17764</v>
      </c>
      <c r="E22" s="50" t="s">
        <v>144</v>
      </c>
      <c r="F22" s="50" t="s">
        <v>146</v>
      </c>
      <c r="G22" s="50" t="s">
        <v>152</v>
      </c>
    </row>
    <row r="23" spans="3:7" ht="28.8" x14ac:dyDescent="0.3">
      <c r="C23" s="50" t="s">
        <v>128</v>
      </c>
      <c r="D23" s="59">
        <v>18187</v>
      </c>
      <c r="E23" s="50" t="s">
        <v>143</v>
      </c>
      <c r="F23" s="50" t="s">
        <v>146</v>
      </c>
      <c r="G23" s="50" t="s">
        <v>153</v>
      </c>
    </row>
    <row r="24" spans="3:7" ht="28.8" x14ac:dyDescent="0.3">
      <c r="C24" s="50" t="s">
        <v>127</v>
      </c>
      <c r="D24" s="59">
        <v>18156</v>
      </c>
      <c r="E24" s="50" t="s">
        <v>144</v>
      </c>
      <c r="F24" s="50" t="s">
        <v>146</v>
      </c>
      <c r="G24" s="50" t="s">
        <v>154</v>
      </c>
    </row>
    <row r="25" spans="3:7" x14ac:dyDescent="0.3">
      <c r="C25" s="49" t="s">
        <v>130</v>
      </c>
    </row>
    <row r="26" spans="3:7" x14ac:dyDescent="0.3">
      <c r="C26" s="49" t="s">
        <v>131</v>
      </c>
    </row>
    <row r="27" spans="3:7" x14ac:dyDescent="0.3">
      <c r="C27" s="49" t="s">
        <v>132</v>
      </c>
    </row>
    <row r="28" spans="3:7" x14ac:dyDescent="0.3">
      <c r="C28" s="49" t="s">
        <v>133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72EAA-FD5B-443E-B874-784C17E6918E}">
  <sheetPr codeName="Sayfa1"/>
  <dimension ref="A1:I23"/>
  <sheetViews>
    <sheetView tabSelected="1" zoomScale="115" zoomScaleNormal="115" workbookViewId="0">
      <selection activeCell="D4" sqref="D4:D23"/>
    </sheetView>
  </sheetViews>
  <sheetFormatPr defaultColWidth="9.109375" defaultRowHeight="14.4" x14ac:dyDescent="0.3"/>
  <cols>
    <col min="1" max="1" width="22.109375" style="7" customWidth="1"/>
    <col min="2" max="2" width="13.88671875" style="4" customWidth="1"/>
    <col min="3" max="3" width="8.88671875"/>
    <col min="4" max="4" width="52.88671875" style="1" customWidth="1"/>
    <col min="5" max="16384" width="9.109375" style="2"/>
  </cols>
  <sheetData>
    <row r="1" spans="1:9" x14ac:dyDescent="0.3">
      <c r="A1" s="3" t="s">
        <v>0</v>
      </c>
      <c r="B1" s="5">
        <f>D3</f>
        <v>81</v>
      </c>
      <c r="C1" s="2"/>
      <c r="D1" s="71" t="s">
        <v>46</v>
      </c>
    </row>
    <row r="2" spans="1:9" x14ac:dyDescent="0.3">
      <c r="A2" s="3" t="s">
        <v>1</v>
      </c>
      <c r="B2" s="6">
        <f>VLOOKUP(B1,List!A:M,2)</f>
        <v>36115</v>
      </c>
      <c r="C2" s="2"/>
      <c r="D2" s="71"/>
    </row>
    <row r="3" spans="1:9" ht="61.2" x14ac:dyDescent="0.3">
      <c r="A3" s="3" t="s">
        <v>4</v>
      </c>
      <c r="B3" s="6" t="str">
        <f>VLOOKUP(B1,List!A:M,3)</f>
        <v>NL</v>
      </c>
      <c r="C3" s="2"/>
      <c r="D3" s="12">
        <v>81</v>
      </c>
    </row>
    <row r="4" spans="1:9" x14ac:dyDescent="0.3">
      <c r="A4" s="3" t="s">
        <v>2</v>
      </c>
      <c r="B4" s="6" t="str">
        <f>VLOOKUP(B1,List!A:M,4)</f>
        <v>814325075B01</v>
      </c>
      <c r="C4" s="2"/>
      <c r="D4" s="72" t="s">
        <v>177</v>
      </c>
    </row>
    <row r="5" spans="1:9" x14ac:dyDescent="0.3">
      <c r="A5" s="3" t="s">
        <v>3</v>
      </c>
      <c r="B5" s="6" t="str">
        <f>VLOOKUP(B1,List!A:M,5)</f>
        <v>true</v>
      </c>
      <c r="C5" s="2"/>
      <c r="D5" s="72"/>
    </row>
    <row r="6" spans="1:9" x14ac:dyDescent="0.3">
      <c r="A6" s="3" t="s">
        <v>5</v>
      </c>
      <c r="B6" s="6">
        <f>VLOOKUP(B1,List!A:M,6)</f>
        <v>0</v>
      </c>
      <c r="C6" s="2"/>
      <c r="D6" s="72"/>
    </row>
    <row r="7" spans="1:9" x14ac:dyDescent="0.3">
      <c r="A7" s="3" t="s">
        <v>9</v>
      </c>
      <c r="B7" s="6">
        <f>VLOOKUP(B1,List!A:M,11)</f>
        <v>0</v>
      </c>
      <c r="C7" s="2"/>
      <c r="D7" s="72"/>
    </row>
    <row r="8" spans="1:9" x14ac:dyDescent="0.3">
      <c r="A8" s="3" t="s">
        <v>17</v>
      </c>
      <c r="B8" s="6">
        <f>VLOOKUP(B1,List!A:M,12)</f>
        <v>0</v>
      </c>
      <c r="C8" s="2"/>
      <c r="D8" s="72"/>
    </row>
    <row r="9" spans="1:9" x14ac:dyDescent="0.3">
      <c r="A9" s="3" t="s">
        <v>6</v>
      </c>
      <c r="B9" s="6">
        <f>VLOOKUP(B1,List!A:M,13)</f>
        <v>0</v>
      </c>
      <c r="C9" s="2"/>
      <c r="D9" s="72"/>
    </row>
    <row r="10" spans="1:9" ht="36" customHeight="1" x14ac:dyDescent="0.3">
      <c r="A10" s="3" t="s">
        <v>50</v>
      </c>
      <c r="B10" s="6" t="e">
        <f>VLOOKUP(B1,List!A:M,14)</f>
        <v>#REF!</v>
      </c>
      <c r="C10" s="2"/>
      <c r="D10" s="72"/>
    </row>
    <row r="11" spans="1:9" x14ac:dyDescent="0.3">
      <c r="C11" s="2"/>
      <c r="D11" s="72"/>
    </row>
    <row r="12" spans="1:9" x14ac:dyDescent="0.3">
      <c r="B12" s="8"/>
      <c r="C12" s="2"/>
      <c r="D12" s="72"/>
      <c r="I12" s="2">
        <v>4</v>
      </c>
    </row>
    <row r="13" spans="1:9" x14ac:dyDescent="0.3">
      <c r="D13" s="72"/>
    </row>
    <row r="14" spans="1:9" x14ac:dyDescent="0.3">
      <c r="D14" s="72"/>
    </row>
    <row r="15" spans="1:9" x14ac:dyDescent="0.3">
      <c r="A15"/>
      <c r="D15" s="72"/>
    </row>
    <row r="16" spans="1:9" x14ac:dyDescent="0.3">
      <c r="A16"/>
      <c r="D16" s="72"/>
    </row>
    <row r="17" spans="1:4" x14ac:dyDescent="0.3">
      <c r="A17"/>
      <c r="D17" s="72"/>
    </row>
    <row r="18" spans="1:4" x14ac:dyDescent="0.3">
      <c r="A18"/>
      <c r="D18" s="72"/>
    </row>
    <row r="19" spans="1:4" x14ac:dyDescent="0.3">
      <c r="A19"/>
      <c r="D19" s="72"/>
    </row>
    <row r="20" spans="1:4" x14ac:dyDescent="0.3">
      <c r="A20"/>
      <c r="D20" s="72"/>
    </row>
    <row r="21" spans="1:4" x14ac:dyDescent="0.3">
      <c r="D21" s="72"/>
    </row>
    <row r="22" spans="1:4" x14ac:dyDescent="0.3">
      <c r="D22" s="72"/>
    </row>
    <row r="23" spans="1:4" ht="240" customHeight="1" x14ac:dyDescent="0.3">
      <c r="D23" s="72"/>
    </row>
  </sheetData>
  <mergeCells count="2">
    <mergeCell ref="D1:D2"/>
    <mergeCell ref="D4:D2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D5A32-CA83-40B0-B6A1-C12FC70543E3}">
  <sheetPr codeName="Sayfa2"/>
  <dimension ref="A1:N95"/>
  <sheetViews>
    <sheetView zoomScale="115" zoomScaleNormal="115" workbookViewId="0">
      <pane ySplit="1" topLeftCell="A86" activePane="bottomLeft" state="frozen"/>
      <selection pane="bottomLeft" activeCell="N87" sqref="N87"/>
    </sheetView>
  </sheetViews>
  <sheetFormatPr defaultColWidth="9.109375" defaultRowHeight="30" customHeight="1" x14ac:dyDescent="0.3"/>
  <cols>
    <col min="1" max="1" width="5.33203125" style="17" bestFit="1" customWidth="1"/>
    <col min="2" max="2" width="8.5546875" style="40" customWidth="1"/>
    <col min="3" max="3" width="8.5546875" style="25" customWidth="1"/>
    <col min="4" max="4" width="12.88671875" style="26" customWidth="1"/>
    <col min="5" max="5" width="7.5546875" style="25" customWidth="1"/>
    <col min="6" max="6" width="5.5546875" style="25" customWidth="1"/>
    <col min="7" max="7" width="10.109375" style="16" customWidth="1"/>
    <col min="8" max="8" width="10.5546875" style="16" customWidth="1"/>
    <col min="9" max="9" width="5.44140625" style="25" customWidth="1"/>
    <col min="10" max="10" width="4.5546875" style="25" customWidth="1"/>
    <col min="11" max="12" width="10.5546875" style="33" customWidth="1"/>
    <col min="13" max="13" width="10.5546875" style="34" customWidth="1"/>
    <col min="14" max="14" width="32.5546875" style="17" customWidth="1"/>
    <col min="15" max="16384" width="9.109375" style="17"/>
  </cols>
  <sheetData>
    <row r="1" spans="1:14" ht="41.4" x14ac:dyDescent="0.3">
      <c r="A1" s="9" t="s">
        <v>87</v>
      </c>
      <c r="B1" s="36" t="s">
        <v>1</v>
      </c>
      <c r="C1" s="10" t="s">
        <v>4</v>
      </c>
      <c r="D1" s="11" t="s">
        <v>2</v>
      </c>
      <c r="E1" s="10" t="s">
        <v>3</v>
      </c>
      <c r="F1" s="10" t="s">
        <v>5</v>
      </c>
      <c r="G1" s="13" t="s">
        <v>75</v>
      </c>
      <c r="H1" s="13" t="s">
        <v>78</v>
      </c>
      <c r="I1" s="10" t="s">
        <v>47</v>
      </c>
      <c r="J1" s="10" t="s">
        <v>48</v>
      </c>
      <c r="K1" s="29" t="s">
        <v>76</v>
      </c>
      <c r="L1" s="29" t="s">
        <v>77</v>
      </c>
      <c r="M1" s="30" t="s">
        <v>6</v>
      </c>
      <c r="N1" s="9" t="s">
        <v>83</v>
      </c>
    </row>
    <row r="2" spans="1:14" s="21" customFormat="1" ht="32.25" customHeight="1" x14ac:dyDescent="0.3">
      <c r="A2" s="64">
        <v>0</v>
      </c>
      <c r="B2" s="65">
        <v>18186</v>
      </c>
      <c r="C2" s="66"/>
      <c r="D2" s="67"/>
      <c r="E2" s="66"/>
      <c r="F2" s="66"/>
      <c r="G2" s="68"/>
      <c r="H2" s="68"/>
      <c r="I2" s="66"/>
      <c r="J2" s="66"/>
      <c r="K2" s="68"/>
      <c r="L2" s="68"/>
      <c r="M2" s="69"/>
      <c r="N2" s="70" t="s">
        <v>137</v>
      </c>
    </row>
    <row r="3" spans="1:14" s="21" customFormat="1" ht="32.25" customHeight="1" x14ac:dyDescent="0.3">
      <c r="A3" s="64">
        <v>0</v>
      </c>
      <c r="B3" s="65">
        <v>19489</v>
      </c>
      <c r="C3" s="66"/>
      <c r="D3" s="67"/>
      <c r="E3" s="66"/>
      <c r="F3" s="66"/>
      <c r="G3" s="68"/>
      <c r="H3" s="68"/>
      <c r="I3" s="66"/>
      <c r="J3" s="66"/>
      <c r="K3" s="68"/>
      <c r="L3" s="68"/>
      <c r="M3" s="69"/>
      <c r="N3" s="70" t="s">
        <v>137</v>
      </c>
    </row>
    <row r="4" spans="1:14" s="21" customFormat="1" ht="32.25" customHeight="1" x14ac:dyDescent="0.3">
      <c r="A4" s="64">
        <v>0</v>
      </c>
      <c r="B4" s="65">
        <v>19510</v>
      </c>
      <c r="C4" s="66"/>
      <c r="D4" s="67"/>
      <c r="E4" s="66"/>
      <c r="F4" s="66"/>
      <c r="G4" s="68"/>
      <c r="H4" s="68"/>
      <c r="I4" s="66"/>
      <c r="J4" s="66"/>
      <c r="K4" s="68"/>
      <c r="L4" s="68"/>
      <c r="M4" s="69"/>
      <c r="N4" s="70" t="s">
        <v>137</v>
      </c>
    </row>
    <row r="5" spans="1:14" s="21" customFormat="1" ht="30" customHeight="1" x14ac:dyDescent="0.3">
      <c r="A5" s="64">
        <v>0</v>
      </c>
      <c r="B5" s="65">
        <v>20734</v>
      </c>
      <c r="C5" s="66"/>
      <c r="D5" s="67"/>
      <c r="E5" s="66"/>
      <c r="F5" s="66"/>
      <c r="G5" s="68"/>
      <c r="H5" s="68"/>
      <c r="I5" s="66"/>
      <c r="J5" s="66"/>
      <c r="K5" s="68"/>
      <c r="L5" s="68"/>
      <c r="M5" s="69"/>
      <c r="N5" s="70" t="s">
        <v>137</v>
      </c>
    </row>
    <row r="6" spans="1:14" s="21" customFormat="1" ht="30" customHeight="1" x14ac:dyDescent="0.3">
      <c r="A6" s="62">
        <v>1</v>
      </c>
      <c r="B6" s="38">
        <v>13437</v>
      </c>
      <c r="C6" s="23" t="s">
        <v>18</v>
      </c>
      <c r="D6" s="24"/>
      <c r="E6" s="23" t="s">
        <v>19</v>
      </c>
      <c r="F6" s="23">
        <v>21</v>
      </c>
      <c r="G6" s="14">
        <v>181.01</v>
      </c>
      <c r="H6" s="14">
        <v>10.89</v>
      </c>
      <c r="I6" s="23">
        <v>1</v>
      </c>
      <c r="J6" s="23">
        <v>1</v>
      </c>
      <c r="K6" s="31">
        <f>IF($I6=1,G6/(100+$F6)*$F6,G6/100*F6)</f>
        <v>31.414958677685949</v>
      </c>
      <c r="L6" s="31">
        <f>IF($J6=1,H6/(100+$F6)*$F6,H6/(100+F6)*F6)</f>
        <v>1.8900000000000001</v>
      </c>
      <c r="M6" s="32">
        <f>IF(AND(I6&lt;&gt;1,J6&lt;&gt;1),(G6+H6)/100*F6,K6+L6)</f>
        <v>33.304958677685946</v>
      </c>
      <c r="N6" s="22" t="s">
        <v>167</v>
      </c>
    </row>
    <row r="7" spans="1:14" s="21" customFormat="1" ht="30" customHeight="1" x14ac:dyDescent="0.3">
      <c r="A7" s="62">
        <v>2</v>
      </c>
      <c r="B7" s="39" t="s">
        <v>162</v>
      </c>
      <c r="C7" s="23"/>
      <c r="D7" s="24"/>
      <c r="E7" s="23"/>
      <c r="F7" s="23"/>
      <c r="G7" s="14"/>
      <c r="H7" s="14"/>
      <c r="I7" s="23"/>
      <c r="J7" s="23"/>
      <c r="K7" s="31"/>
      <c r="L7" s="31"/>
      <c r="M7" s="32"/>
      <c r="N7" s="22" t="s">
        <v>162</v>
      </c>
    </row>
    <row r="8" spans="1:14" s="21" customFormat="1" ht="30" customHeight="1" x14ac:dyDescent="0.3">
      <c r="A8" s="62">
        <v>3</v>
      </c>
      <c r="B8" s="38">
        <v>13875</v>
      </c>
      <c r="C8" s="23" t="s">
        <v>7</v>
      </c>
      <c r="D8" s="24" t="s">
        <v>22</v>
      </c>
      <c r="E8" s="23" t="s">
        <v>8</v>
      </c>
      <c r="F8" s="23">
        <v>21</v>
      </c>
      <c r="G8" s="14">
        <v>166.62</v>
      </c>
      <c r="H8" s="14">
        <v>7.26</v>
      </c>
      <c r="I8" s="23">
        <v>1</v>
      </c>
      <c r="J8" s="23">
        <v>1</v>
      </c>
      <c r="K8" s="31">
        <f t="shared" ref="K8:K14" si="0">IF($I8=1,G8/(100+$F8)*$F8,G8/100*F8)</f>
        <v>28.917520661157027</v>
      </c>
      <c r="L8" s="31">
        <f t="shared" ref="L8:L39" si="1">IF($J8=1,H8/(100+$F8)*$F8,H8/(100+F8)*F8)</f>
        <v>1.26</v>
      </c>
      <c r="M8" s="32">
        <f t="shared" ref="M8:M26" si="2">IF(AND(I8&lt;&gt;1,J8&lt;&gt;1),(G8+H8)/100*F8,K8+L8)</f>
        <v>30.177520661157029</v>
      </c>
      <c r="N8" s="22" t="s">
        <v>167</v>
      </c>
    </row>
    <row r="9" spans="1:14" s="21" customFormat="1" ht="30" customHeight="1" x14ac:dyDescent="0.3">
      <c r="A9" s="62">
        <v>4</v>
      </c>
      <c r="B9" s="38">
        <v>13872</v>
      </c>
      <c r="C9" s="23" t="s">
        <v>13</v>
      </c>
      <c r="D9" s="24"/>
      <c r="E9" s="23" t="s">
        <v>19</v>
      </c>
      <c r="F9" s="23">
        <v>21</v>
      </c>
      <c r="G9" s="14">
        <v>74.73</v>
      </c>
      <c r="H9" s="14">
        <v>10.89</v>
      </c>
      <c r="I9" s="23">
        <v>1</v>
      </c>
      <c r="J9" s="23">
        <v>1</v>
      </c>
      <c r="K9" s="31">
        <f t="shared" si="0"/>
        <v>12.969669421487604</v>
      </c>
      <c r="L9" s="31">
        <f t="shared" si="1"/>
        <v>1.8900000000000001</v>
      </c>
      <c r="M9" s="32">
        <f t="shared" si="2"/>
        <v>14.859669421487604</v>
      </c>
      <c r="N9" s="22" t="s">
        <v>167</v>
      </c>
    </row>
    <row r="10" spans="1:14" s="21" customFormat="1" ht="30" customHeight="1" x14ac:dyDescent="0.3">
      <c r="A10" s="62">
        <v>5</v>
      </c>
      <c r="B10" s="38">
        <v>13871</v>
      </c>
      <c r="C10" s="23" t="s">
        <v>7</v>
      </c>
      <c r="D10" s="24" t="s">
        <v>21</v>
      </c>
      <c r="E10" s="23" t="s">
        <v>8</v>
      </c>
      <c r="F10" s="23">
        <v>21</v>
      </c>
      <c r="G10" s="14">
        <v>45.98</v>
      </c>
      <c r="H10" s="14">
        <v>12.55</v>
      </c>
      <c r="I10" s="23">
        <v>1</v>
      </c>
      <c r="J10" s="23">
        <v>1</v>
      </c>
      <c r="K10" s="31">
        <f t="shared" si="0"/>
        <v>7.9799999999999986</v>
      </c>
      <c r="L10" s="31">
        <f t="shared" si="1"/>
        <v>2.178099173553719</v>
      </c>
      <c r="M10" s="32">
        <f t="shared" si="2"/>
        <v>10.158099173553717</v>
      </c>
      <c r="N10" s="22" t="s">
        <v>167</v>
      </c>
    </row>
    <row r="11" spans="1:14" s="21" customFormat="1" ht="30" customHeight="1" x14ac:dyDescent="0.3">
      <c r="A11" s="62">
        <v>6</v>
      </c>
      <c r="B11" s="38">
        <v>13931</v>
      </c>
      <c r="C11" s="23" t="s">
        <v>7</v>
      </c>
      <c r="D11" s="24" t="s">
        <v>89</v>
      </c>
      <c r="E11" s="23" t="s">
        <v>8</v>
      </c>
      <c r="F11" s="23">
        <v>21</v>
      </c>
      <c r="G11" s="14">
        <v>73.81</v>
      </c>
      <c r="H11" s="14">
        <v>7.26</v>
      </c>
      <c r="I11" s="23">
        <v>1</v>
      </c>
      <c r="J11" s="23">
        <v>1</v>
      </c>
      <c r="K11" s="31">
        <f t="shared" si="0"/>
        <v>12.81</v>
      </c>
      <c r="L11" s="31">
        <f t="shared" si="1"/>
        <v>1.26</v>
      </c>
      <c r="M11" s="32">
        <f t="shared" si="2"/>
        <v>14.07</v>
      </c>
      <c r="N11" s="22" t="s">
        <v>167</v>
      </c>
    </row>
    <row r="12" spans="1:14" s="21" customFormat="1" ht="30" customHeight="1" x14ac:dyDescent="0.3">
      <c r="A12" s="62">
        <v>7</v>
      </c>
      <c r="B12" s="38">
        <v>14141</v>
      </c>
      <c r="C12" s="23" t="s">
        <v>20</v>
      </c>
      <c r="D12" s="24"/>
      <c r="E12" s="23" t="s">
        <v>19</v>
      </c>
      <c r="F12" s="23">
        <v>21</v>
      </c>
      <c r="G12" s="14">
        <v>11.8</v>
      </c>
      <c r="H12" s="14">
        <v>16.53</v>
      </c>
      <c r="I12" s="23"/>
      <c r="J12" s="23"/>
      <c r="K12" s="31">
        <f t="shared" si="0"/>
        <v>2.4780000000000002</v>
      </c>
      <c r="L12" s="31">
        <f t="shared" si="1"/>
        <v>2.8688429752066114</v>
      </c>
      <c r="M12" s="32">
        <f t="shared" si="2"/>
        <v>5.9493</v>
      </c>
      <c r="N12" s="22" t="s">
        <v>167</v>
      </c>
    </row>
    <row r="13" spans="1:14" s="21" customFormat="1" ht="30" customHeight="1" x14ac:dyDescent="0.3">
      <c r="A13" s="62">
        <v>8</v>
      </c>
      <c r="B13" s="38">
        <v>14180</v>
      </c>
      <c r="C13" s="23" t="s">
        <v>7</v>
      </c>
      <c r="D13" s="24" t="s">
        <v>23</v>
      </c>
      <c r="E13" s="23" t="s">
        <v>8</v>
      </c>
      <c r="F13" s="23">
        <v>21</v>
      </c>
      <c r="G13" s="14">
        <v>120.4</v>
      </c>
      <c r="H13" s="14">
        <v>24</v>
      </c>
      <c r="I13" s="23"/>
      <c r="J13" s="23"/>
      <c r="K13" s="31">
        <f t="shared" si="0"/>
        <v>25.283999999999999</v>
      </c>
      <c r="L13" s="31">
        <f t="shared" si="1"/>
        <v>4.1652892561983474</v>
      </c>
      <c r="M13" s="32">
        <f t="shared" si="2"/>
        <v>30.323999999999998</v>
      </c>
      <c r="N13" s="22" t="s">
        <v>167</v>
      </c>
    </row>
    <row r="14" spans="1:14" s="21" customFormat="1" ht="30" customHeight="1" x14ac:dyDescent="0.3">
      <c r="A14" s="62">
        <v>9</v>
      </c>
      <c r="B14" s="38">
        <v>14517</v>
      </c>
      <c r="C14" s="23" t="s">
        <v>13</v>
      </c>
      <c r="D14" s="24" t="s">
        <v>33</v>
      </c>
      <c r="E14" s="23" t="s">
        <v>8</v>
      </c>
      <c r="F14" s="23">
        <v>0</v>
      </c>
      <c r="G14" s="14">
        <v>14.36</v>
      </c>
      <c r="H14" s="14">
        <v>12</v>
      </c>
      <c r="I14" s="23"/>
      <c r="J14" s="23"/>
      <c r="K14" s="31">
        <f t="shared" si="0"/>
        <v>0</v>
      </c>
      <c r="L14" s="31">
        <f t="shared" si="1"/>
        <v>0</v>
      </c>
      <c r="M14" s="32">
        <f t="shared" si="2"/>
        <v>0</v>
      </c>
      <c r="N14" s="22" t="s">
        <v>167</v>
      </c>
    </row>
    <row r="15" spans="1:14" s="21" customFormat="1" ht="30" customHeight="1" x14ac:dyDescent="0.3">
      <c r="A15" s="52">
        <v>10</v>
      </c>
      <c r="B15" s="53">
        <v>15401</v>
      </c>
      <c r="C15" s="54" t="s">
        <v>25</v>
      </c>
      <c r="D15" s="55"/>
      <c r="E15" s="54" t="s">
        <v>19</v>
      </c>
      <c r="F15" s="54">
        <v>21</v>
      </c>
      <c r="G15" s="56">
        <v>52.1</v>
      </c>
      <c r="H15" s="56"/>
      <c r="I15" s="54">
        <v>1</v>
      </c>
      <c r="J15" s="54"/>
      <c r="K15" s="56"/>
      <c r="L15" s="56">
        <f t="shared" si="1"/>
        <v>0</v>
      </c>
      <c r="M15" s="57">
        <f t="shared" si="2"/>
        <v>0</v>
      </c>
      <c r="N15" s="58" t="s">
        <v>135</v>
      </c>
    </row>
    <row r="16" spans="1:14" s="21" customFormat="1" ht="30" customHeight="1" x14ac:dyDescent="0.3">
      <c r="A16" s="52">
        <v>11</v>
      </c>
      <c r="B16" s="53">
        <v>15557</v>
      </c>
      <c r="C16" s="54" t="s">
        <v>7</v>
      </c>
      <c r="D16" s="55"/>
      <c r="E16" s="54" t="s">
        <v>19</v>
      </c>
      <c r="F16" s="54">
        <v>21</v>
      </c>
      <c r="G16" s="56">
        <v>69.03</v>
      </c>
      <c r="H16" s="56">
        <v>6.41</v>
      </c>
      <c r="I16" s="54">
        <v>1</v>
      </c>
      <c r="J16" s="54">
        <v>1</v>
      </c>
      <c r="K16" s="56">
        <f t="shared" ref="K16:K49" si="3">IF($I16=1,G16/(100+$F16)*$F16,G16/100*F16)</f>
        <v>11.980413223140497</v>
      </c>
      <c r="L16" s="56">
        <f t="shared" si="1"/>
        <v>1.1124793388429752</v>
      </c>
      <c r="M16" s="57">
        <f t="shared" si="2"/>
        <v>13.092892561983472</v>
      </c>
      <c r="N16" s="58" t="s">
        <v>135</v>
      </c>
    </row>
    <row r="17" spans="1:14" s="21" customFormat="1" ht="30" customHeight="1" x14ac:dyDescent="0.3">
      <c r="A17" s="62">
        <v>12</v>
      </c>
      <c r="B17" s="38">
        <v>15739</v>
      </c>
      <c r="C17" s="23" t="s">
        <v>13</v>
      </c>
      <c r="D17" s="24" t="s">
        <v>27</v>
      </c>
      <c r="E17" s="23" t="s">
        <v>8</v>
      </c>
      <c r="F17" s="23">
        <v>0</v>
      </c>
      <c r="G17" s="14">
        <v>214</v>
      </c>
      <c r="H17" s="14">
        <v>20</v>
      </c>
      <c r="I17" s="23"/>
      <c r="J17" s="23"/>
      <c r="K17" s="31">
        <f t="shared" si="3"/>
        <v>0</v>
      </c>
      <c r="L17" s="31">
        <f t="shared" si="1"/>
        <v>0</v>
      </c>
      <c r="M17" s="32">
        <f t="shared" si="2"/>
        <v>0</v>
      </c>
      <c r="N17" s="22" t="s">
        <v>167</v>
      </c>
    </row>
    <row r="18" spans="1:14" s="21" customFormat="1" ht="30" customHeight="1" x14ac:dyDescent="0.3">
      <c r="A18" s="62">
        <v>13</v>
      </c>
      <c r="B18" s="38">
        <v>15910</v>
      </c>
      <c r="C18" s="23" t="s">
        <v>18</v>
      </c>
      <c r="D18" s="24"/>
      <c r="E18" s="23" t="s">
        <v>19</v>
      </c>
      <c r="F18" s="23">
        <v>21</v>
      </c>
      <c r="G18" s="14">
        <v>159.47999999999999</v>
      </c>
      <c r="H18" s="14">
        <v>10.89</v>
      </c>
      <c r="I18" s="23">
        <v>1</v>
      </c>
      <c r="J18" s="23">
        <v>1</v>
      </c>
      <c r="K18" s="31">
        <f t="shared" si="3"/>
        <v>27.678347107438015</v>
      </c>
      <c r="L18" s="31">
        <f t="shared" si="1"/>
        <v>1.8900000000000001</v>
      </c>
      <c r="M18" s="32">
        <f t="shared" si="2"/>
        <v>29.568347107438015</v>
      </c>
      <c r="N18" s="22" t="s">
        <v>167</v>
      </c>
    </row>
    <row r="19" spans="1:14" s="21" customFormat="1" ht="30" customHeight="1" x14ac:dyDescent="0.3">
      <c r="A19" s="62">
        <v>14</v>
      </c>
      <c r="B19" s="38">
        <v>15941</v>
      </c>
      <c r="C19" s="23" t="s">
        <v>18</v>
      </c>
      <c r="D19" s="24"/>
      <c r="E19" s="23" t="s">
        <v>19</v>
      </c>
      <c r="F19" s="23">
        <v>21</v>
      </c>
      <c r="G19" s="14">
        <v>171.22</v>
      </c>
      <c r="H19" s="14">
        <v>10.89</v>
      </c>
      <c r="I19" s="23">
        <v>1</v>
      </c>
      <c r="J19" s="23">
        <v>1</v>
      </c>
      <c r="K19" s="31">
        <f t="shared" si="3"/>
        <v>29.715867768595043</v>
      </c>
      <c r="L19" s="31">
        <f t="shared" si="1"/>
        <v>1.8900000000000001</v>
      </c>
      <c r="M19" s="32">
        <f t="shared" si="2"/>
        <v>31.605867768595044</v>
      </c>
      <c r="N19" s="22" t="s">
        <v>167</v>
      </c>
    </row>
    <row r="20" spans="1:14" s="21" customFormat="1" ht="30" customHeight="1" x14ac:dyDescent="0.3">
      <c r="A20" s="62">
        <v>15</v>
      </c>
      <c r="B20" s="38">
        <v>15386</v>
      </c>
      <c r="C20" s="23" t="s">
        <v>7</v>
      </c>
      <c r="D20" s="24" t="s">
        <v>26</v>
      </c>
      <c r="E20" s="23" t="s">
        <v>8</v>
      </c>
      <c r="F20" s="23">
        <v>21</v>
      </c>
      <c r="G20" s="14">
        <v>237.16</v>
      </c>
      <c r="H20" s="14">
        <v>40</v>
      </c>
      <c r="I20" s="23">
        <v>1</v>
      </c>
      <c r="J20" s="23">
        <v>1</v>
      </c>
      <c r="K20" s="31">
        <f t="shared" si="3"/>
        <v>41.16</v>
      </c>
      <c r="L20" s="31">
        <f t="shared" si="1"/>
        <v>6.9421487603305785</v>
      </c>
      <c r="M20" s="32">
        <f t="shared" si="2"/>
        <v>48.102148760330579</v>
      </c>
      <c r="N20" s="22" t="s">
        <v>167</v>
      </c>
    </row>
    <row r="21" spans="1:14" s="21" customFormat="1" ht="30" customHeight="1" x14ac:dyDescent="0.3">
      <c r="A21" s="62">
        <v>16</v>
      </c>
      <c r="B21" s="38">
        <v>14163</v>
      </c>
      <c r="C21" s="23" t="s">
        <v>13</v>
      </c>
      <c r="D21" s="24"/>
      <c r="E21" s="23" t="s">
        <v>19</v>
      </c>
      <c r="F21" s="23">
        <v>21</v>
      </c>
      <c r="G21" s="14">
        <v>35.89</v>
      </c>
      <c r="H21" s="14">
        <v>0</v>
      </c>
      <c r="I21" s="23">
        <v>1</v>
      </c>
      <c r="J21" s="23"/>
      <c r="K21" s="31">
        <f t="shared" si="3"/>
        <v>6.2288429752066117</v>
      </c>
      <c r="L21" s="31">
        <f t="shared" si="1"/>
        <v>0</v>
      </c>
      <c r="M21" s="32">
        <f t="shared" si="2"/>
        <v>6.2288429752066117</v>
      </c>
      <c r="N21" s="63" t="s">
        <v>84</v>
      </c>
    </row>
    <row r="22" spans="1:14" s="21" customFormat="1" ht="30" customHeight="1" x14ac:dyDescent="0.3">
      <c r="A22" s="62">
        <v>17</v>
      </c>
      <c r="B22" s="38">
        <v>16224</v>
      </c>
      <c r="C22" s="23" t="s">
        <v>28</v>
      </c>
      <c r="D22" s="24" t="s">
        <v>45</v>
      </c>
      <c r="E22" s="23" t="s">
        <v>8</v>
      </c>
      <c r="F22" s="23">
        <v>0</v>
      </c>
      <c r="G22" s="15">
        <v>798</v>
      </c>
      <c r="H22" s="15">
        <v>0</v>
      </c>
      <c r="I22" s="23"/>
      <c r="J22" s="23"/>
      <c r="K22" s="31">
        <f t="shared" si="3"/>
        <v>0</v>
      </c>
      <c r="L22" s="31">
        <f t="shared" si="1"/>
        <v>0</v>
      </c>
      <c r="M22" s="32">
        <f t="shared" si="2"/>
        <v>0</v>
      </c>
      <c r="N22" s="22" t="s">
        <v>167</v>
      </c>
    </row>
    <row r="23" spans="1:14" s="21" customFormat="1" ht="30" customHeight="1" x14ac:dyDescent="0.3">
      <c r="A23" s="62">
        <v>18</v>
      </c>
      <c r="B23" s="38">
        <v>16225</v>
      </c>
      <c r="C23" s="23" t="s">
        <v>7</v>
      </c>
      <c r="D23" s="24" t="s">
        <v>24</v>
      </c>
      <c r="E23" s="23" t="s">
        <v>8</v>
      </c>
      <c r="F23" s="23">
        <v>21</v>
      </c>
      <c r="G23" s="14">
        <v>21.65</v>
      </c>
      <c r="H23" s="14">
        <v>6.41</v>
      </c>
      <c r="I23" s="23">
        <v>1</v>
      </c>
      <c r="J23" s="23">
        <v>1</v>
      </c>
      <c r="K23" s="31">
        <f t="shared" si="3"/>
        <v>3.7574380165289254</v>
      </c>
      <c r="L23" s="31">
        <f t="shared" si="1"/>
        <v>1.1124793388429752</v>
      </c>
      <c r="M23" s="32">
        <f t="shared" si="2"/>
        <v>4.8699173553719008</v>
      </c>
      <c r="N23" s="22" t="s">
        <v>167</v>
      </c>
    </row>
    <row r="24" spans="1:14" s="21" customFormat="1" ht="30" customHeight="1" x14ac:dyDescent="0.3">
      <c r="A24" s="62">
        <v>19</v>
      </c>
      <c r="B24" s="38">
        <v>16752</v>
      </c>
      <c r="C24" s="23" t="s">
        <v>13</v>
      </c>
      <c r="D24" s="24" t="s">
        <v>33</v>
      </c>
      <c r="E24" s="23" t="s">
        <v>8</v>
      </c>
      <c r="F24" s="23">
        <v>0</v>
      </c>
      <c r="G24" s="14">
        <v>30</v>
      </c>
      <c r="H24" s="14">
        <v>9</v>
      </c>
      <c r="I24" s="23"/>
      <c r="J24" s="23"/>
      <c r="K24" s="31">
        <f t="shared" si="3"/>
        <v>0</v>
      </c>
      <c r="L24" s="31">
        <f t="shared" si="1"/>
        <v>0</v>
      </c>
      <c r="M24" s="32">
        <f t="shared" si="2"/>
        <v>0</v>
      </c>
      <c r="N24" s="22" t="s">
        <v>167</v>
      </c>
    </row>
    <row r="25" spans="1:14" s="21" customFormat="1" ht="30" customHeight="1" x14ac:dyDescent="0.3">
      <c r="A25" s="62">
        <v>20</v>
      </c>
      <c r="B25" s="38">
        <v>30333</v>
      </c>
      <c r="C25" s="23" t="s">
        <v>28</v>
      </c>
      <c r="D25" s="24"/>
      <c r="E25" s="23" t="s">
        <v>19</v>
      </c>
      <c r="F25" s="23">
        <v>21</v>
      </c>
      <c r="G25" s="14">
        <v>9.57</v>
      </c>
      <c r="H25" s="14">
        <v>9</v>
      </c>
      <c r="I25" s="23">
        <v>1</v>
      </c>
      <c r="J25" s="23">
        <v>1</v>
      </c>
      <c r="K25" s="31">
        <f t="shared" si="3"/>
        <v>1.6609090909090909</v>
      </c>
      <c r="L25" s="31">
        <f t="shared" si="1"/>
        <v>1.5619834710743803</v>
      </c>
      <c r="M25" s="32">
        <f t="shared" si="2"/>
        <v>3.2228925619834712</v>
      </c>
      <c r="N25" s="63" t="s">
        <v>168</v>
      </c>
    </row>
    <row r="26" spans="1:14" s="21" customFormat="1" ht="30" customHeight="1" x14ac:dyDescent="0.3">
      <c r="A26" s="62">
        <v>21</v>
      </c>
      <c r="B26" s="38">
        <v>17071</v>
      </c>
      <c r="C26" s="23" t="s">
        <v>7</v>
      </c>
      <c r="D26" s="24" t="s">
        <v>34</v>
      </c>
      <c r="E26" s="23" t="s">
        <v>8</v>
      </c>
      <c r="F26" s="23">
        <v>21</v>
      </c>
      <c r="G26" s="14">
        <v>2116.29</v>
      </c>
      <c r="H26" s="14">
        <v>0</v>
      </c>
      <c r="I26" s="23">
        <v>1</v>
      </c>
      <c r="J26" s="23"/>
      <c r="K26" s="31">
        <f t="shared" si="3"/>
        <v>367.28999999999996</v>
      </c>
      <c r="L26" s="31">
        <f t="shared" si="1"/>
        <v>0</v>
      </c>
      <c r="M26" s="32">
        <f t="shared" si="2"/>
        <v>367.28999999999996</v>
      </c>
      <c r="N26" s="22" t="s">
        <v>167</v>
      </c>
    </row>
    <row r="27" spans="1:14" s="21" customFormat="1" ht="30" customHeight="1" x14ac:dyDescent="0.3">
      <c r="A27" s="62">
        <v>22</v>
      </c>
      <c r="B27" s="38">
        <v>16591</v>
      </c>
      <c r="C27" s="23" t="s">
        <v>18</v>
      </c>
      <c r="D27" s="24"/>
      <c r="E27" s="23" t="s">
        <v>19</v>
      </c>
      <c r="F27" s="23">
        <v>21</v>
      </c>
      <c r="G27" s="14">
        <v>42.84</v>
      </c>
      <c r="H27" s="14">
        <v>10.89</v>
      </c>
      <c r="I27" s="23">
        <v>1</v>
      </c>
      <c r="J27" s="23">
        <v>1</v>
      </c>
      <c r="K27" s="31">
        <f t="shared" si="3"/>
        <v>7.4350413223140501</v>
      </c>
      <c r="L27" s="31">
        <f t="shared" si="1"/>
        <v>1.8900000000000001</v>
      </c>
      <c r="M27" s="32">
        <v>9.32</v>
      </c>
      <c r="N27" s="22" t="s">
        <v>167</v>
      </c>
    </row>
    <row r="28" spans="1:14" s="21" customFormat="1" ht="30" customHeight="1" x14ac:dyDescent="0.3">
      <c r="A28" s="62">
        <v>23</v>
      </c>
      <c r="B28" s="38">
        <v>17092</v>
      </c>
      <c r="C28" s="23" t="s">
        <v>29</v>
      </c>
      <c r="D28" s="24" t="s">
        <v>30</v>
      </c>
      <c r="E28" s="23" t="s">
        <v>8</v>
      </c>
      <c r="F28" s="23">
        <v>0</v>
      </c>
      <c r="G28" s="14">
        <v>48.07</v>
      </c>
      <c r="H28" s="14">
        <v>25.5</v>
      </c>
      <c r="I28" s="23"/>
      <c r="J28" s="23"/>
      <c r="K28" s="31">
        <f t="shared" si="3"/>
        <v>0</v>
      </c>
      <c r="L28" s="31">
        <f t="shared" si="1"/>
        <v>0</v>
      </c>
      <c r="M28" s="32">
        <f t="shared" ref="M28:M49" si="4">IF(AND(I28&lt;&gt;1,J28&lt;&gt;1),(G28+H28)/100*F28,K28+L28)</f>
        <v>0</v>
      </c>
      <c r="N28" s="22" t="s">
        <v>167</v>
      </c>
    </row>
    <row r="29" spans="1:14" s="21" customFormat="1" ht="30" customHeight="1" x14ac:dyDescent="0.3">
      <c r="A29" s="62">
        <v>24</v>
      </c>
      <c r="B29" s="38">
        <v>17091</v>
      </c>
      <c r="C29" s="23" t="s">
        <v>36</v>
      </c>
      <c r="D29" s="24" t="s">
        <v>35</v>
      </c>
      <c r="E29" s="23" t="s">
        <v>8</v>
      </c>
      <c r="F29" s="23">
        <v>21</v>
      </c>
      <c r="G29" s="14">
        <v>21.18</v>
      </c>
      <c r="H29" s="14">
        <v>8.4700000000000006</v>
      </c>
      <c r="I29" s="23">
        <v>1</v>
      </c>
      <c r="J29" s="23">
        <v>1</v>
      </c>
      <c r="K29" s="31">
        <f t="shared" si="3"/>
        <v>3.6758677685950416</v>
      </c>
      <c r="L29" s="31">
        <f t="shared" si="1"/>
        <v>1.4700000000000002</v>
      </c>
      <c r="M29" s="32">
        <f t="shared" si="4"/>
        <v>5.1458677685950418</v>
      </c>
      <c r="N29" s="22" t="s">
        <v>84</v>
      </c>
    </row>
    <row r="30" spans="1:14" s="21" customFormat="1" ht="30" customHeight="1" x14ac:dyDescent="0.3">
      <c r="A30" s="52">
        <v>25</v>
      </c>
      <c r="B30" s="53">
        <v>16174</v>
      </c>
      <c r="C30" s="54" t="s">
        <v>25</v>
      </c>
      <c r="D30" s="55"/>
      <c r="E30" s="54" t="s">
        <v>19</v>
      </c>
      <c r="F30" s="54">
        <v>21</v>
      </c>
      <c r="G30" s="56">
        <v>181.5</v>
      </c>
      <c r="H30" s="56">
        <v>0</v>
      </c>
      <c r="I30" s="54">
        <v>1</v>
      </c>
      <c r="J30" s="54"/>
      <c r="K30" s="56">
        <f t="shared" si="3"/>
        <v>31.5</v>
      </c>
      <c r="L30" s="56">
        <f t="shared" si="1"/>
        <v>0</v>
      </c>
      <c r="M30" s="57">
        <f t="shared" si="4"/>
        <v>31.5</v>
      </c>
      <c r="N30" s="58" t="s">
        <v>135</v>
      </c>
    </row>
    <row r="31" spans="1:14" s="21" customFormat="1" ht="30" customHeight="1" x14ac:dyDescent="0.3">
      <c r="A31" s="62">
        <v>26</v>
      </c>
      <c r="B31" s="38">
        <v>17242</v>
      </c>
      <c r="C31" s="23" t="s">
        <v>13</v>
      </c>
      <c r="D31" s="24" t="s">
        <v>27</v>
      </c>
      <c r="E31" s="23" t="s">
        <v>8</v>
      </c>
      <c r="F31" s="23">
        <v>0</v>
      </c>
      <c r="G31" s="14">
        <v>214</v>
      </c>
      <c r="H31" s="14">
        <v>20</v>
      </c>
      <c r="I31" s="23"/>
      <c r="J31" s="23"/>
      <c r="K31" s="31">
        <f t="shared" si="3"/>
        <v>0</v>
      </c>
      <c r="L31" s="31">
        <f t="shared" si="1"/>
        <v>0</v>
      </c>
      <c r="M31" s="32">
        <f t="shared" si="4"/>
        <v>0</v>
      </c>
      <c r="N31" s="22" t="s">
        <v>167</v>
      </c>
    </row>
    <row r="32" spans="1:14" s="21" customFormat="1" ht="30" customHeight="1" x14ac:dyDescent="0.3">
      <c r="A32" s="62">
        <v>27</v>
      </c>
      <c r="B32" s="38">
        <v>17243</v>
      </c>
      <c r="C32" s="23" t="s">
        <v>7</v>
      </c>
      <c r="D32" s="24" t="s">
        <v>32</v>
      </c>
      <c r="E32" s="23" t="s">
        <v>8</v>
      </c>
      <c r="F32" s="23">
        <v>21</v>
      </c>
      <c r="G32" s="14">
        <v>111.56</v>
      </c>
      <c r="H32" s="14">
        <v>54.45</v>
      </c>
      <c r="I32" s="23">
        <v>1</v>
      </c>
      <c r="J32" s="23">
        <v>1</v>
      </c>
      <c r="K32" s="31">
        <f t="shared" si="3"/>
        <v>19.361652892561985</v>
      </c>
      <c r="L32" s="31">
        <f t="shared" si="1"/>
        <v>9.4500000000000011</v>
      </c>
      <c r="M32" s="32">
        <f t="shared" si="4"/>
        <v>28.811652892561987</v>
      </c>
      <c r="N32" s="22" t="s">
        <v>167</v>
      </c>
    </row>
    <row r="33" spans="1:14" s="21" customFormat="1" ht="30" customHeight="1" x14ac:dyDescent="0.3">
      <c r="A33" s="62">
        <v>28</v>
      </c>
      <c r="B33" s="38">
        <v>17241</v>
      </c>
      <c r="C33" s="23" t="s">
        <v>13</v>
      </c>
      <c r="D33" s="24" t="s">
        <v>33</v>
      </c>
      <c r="E33" s="23" t="s">
        <v>8</v>
      </c>
      <c r="F33" s="23">
        <v>0</v>
      </c>
      <c r="G33" s="14">
        <v>90</v>
      </c>
      <c r="H33" s="14">
        <v>9</v>
      </c>
      <c r="I33" s="23"/>
      <c r="J33" s="23"/>
      <c r="K33" s="31">
        <f t="shared" si="3"/>
        <v>0</v>
      </c>
      <c r="L33" s="31">
        <f t="shared" si="1"/>
        <v>0</v>
      </c>
      <c r="M33" s="32">
        <f t="shared" si="4"/>
        <v>0</v>
      </c>
      <c r="N33" s="22" t="s">
        <v>167</v>
      </c>
    </row>
    <row r="34" spans="1:14" s="21" customFormat="1" ht="30" customHeight="1" x14ac:dyDescent="0.3">
      <c r="A34" s="62">
        <v>29</v>
      </c>
      <c r="B34" s="38">
        <v>17307</v>
      </c>
      <c r="C34" s="23" t="s">
        <v>18</v>
      </c>
      <c r="D34" s="24"/>
      <c r="E34" s="23" t="s">
        <v>19</v>
      </c>
      <c r="F34" s="23">
        <v>21</v>
      </c>
      <c r="G34" s="14">
        <v>813.12</v>
      </c>
      <c r="H34" s="14">
        <v>145.19999999999999</v>
      </c>
      <c r="I34" s="23">
        <v>1</v>
      </c>
      <c r="J34" s="23">
        <v>1</v>
      </c>
      <c r="K34" s="31">
        <f t="shared" si="3"/>
        <v>141.12</v>
      </c>
      <c r="L34" s="31">
        <f t="shared" si="1"/>
        <v>25.2</v>
      </c>
      <c r="M34" s="32">
        <f t="shared" si="4"/>
        <v>166.32</v>
      </c>
      <c r="N34" s="22" t="s">
        <v>167</v>
      </c>
    </row>
    <row r="35" spans="1:14" s="21" customFormat="1" ht="30" customHeight="1" x14ac:dyDescent="0.3">
      <c r="A35" s="62">
        <v>30</v>
      </c>
      <c r="B35" s="38">
        <v>17308</v>
      </c>
      <c r="C35" s="23" t="s">
        <v>18</v>
      </c>
      <c r="D35" s="24"/>
      <c r="E35" s="23" t="s">
        <v>19</v>
      </c>
      <c r="F35" s="23">
        <v>21</v>
      </c>
      <c r="G35" s="14">
        <v>487.87</v>
      </c>
      <c r="H35" s="14">
        <v>145.19999999999999</v>
      </c>
      <c r="I35" s="23">
        <v>1</v>
      </c>
      <c r="J35" s="23">
        <v>1</v>
      </c>
      <c r="K35" s="31">
        <f t="shared" si="3"/>
        <v>84.67165289256198</v>
      </c>
      <c r="L35" s="31">
        <f t="shared" si="1"/>
        <v>25.2</v>
      </c>
      <c r="M35" s="32">
        <f t="shared" si="4"/>
        <v>109.87165289256198</v>
      </c>
      <c r="N35" s="22" t="s">
        <v>167</v>
      </c>
    </row>
    <row r="36" spans="1:14" s="21" customFormat="1" ht="30" customHeight="1" x14ac:dyDescent="0.3">
      <c r="A36" s="62">
        <v>31</v>
      </c>
      <c r="B36" s="38">
        <v>17364</v>
      </c>
      <c r="C36" s="23" t="s">
        <v>13</v>
      </c>
      <c r="D36" s="24" t="s">
        <v>33</v>
      </c>
      <c r="E36" s="23" t="s">
        <v>8</v>
      </c>
      <c r="F36" s="23">
        <v>0</v>
      </c>
      <c r="G36" s="14">
        <v>304.5</v>
      </c>
      <c r="H36" s="14">
        <v>9.3000000000000007</v>
      </c>
      <c r="I36" s="23"/>
      <c r="J36" s="23"/>
      <c r="K36" s="31">
        <f t="shared" si="3"/>
        <v>0</v>
      </c>
      <c r="L36" s="31">
        <f t="shared" si="1"/>
        <v>0</v>
      </c>
      <c r="M36" s="32">
        <f t="shared" si="4"/>
        <v>0</v>
      </c>
      <c r="N36" s="22" t="s">
        <v>167</v>
      </c>
    </row>
    <row r="37" spans="1:14" s="21" customFormat="1" ht="30" customHeight="1" x14ac:dyDescent="0.3">
      <c r="A37" s="62">
        <v>32</v>
      </c>
      <c r="B37" s="38">
        <v>17356</v>
      </c>
      <c r="C37" s="23" t="s">
        <v>31</v>
      </c>
      <c r="D37" s="24"/>
      <c r="E37" s="23" t="s">
        <v>19</v>
      </c>
      <c r="F37" s="23">
        <v>21</v>
      </c>
      <c r="G37" s="14">
        <v>325.25</v>
      </c>
      <c r="H37" s="14">
        <v>60.5</v>
      </c>
      <c r="I37" s="23">
        <v>1</v>
      </c>
      <c r="J37" s="23">
        <v>1</v>
      </c>
      <c r="K37" s="31">
        <f t="shared" si="3"/>
        <v>56.448347107438018</v>
      </c>
      <c r="L37" s="31">
        <f t="shared" si="1"/>
        <v>10.5</v>
      </c>
      <c r="M37" s="32">
        <f t="shared" si="4"/>
        <v>66.948347107438025</v>
      </c>
      <c r="N37" s="22" t="s">
        <v>167</v>
      </c>
    </row>
    <row r="38" spans="1:14" s="21" customFormat="1" ht="30" customHeight="1" x14ac:dyDescent="0.3">
      <c r="A38" s="62">
        <v>33</v>
      </c>
      <c r="B38" s="38">
        <v>17357</v>
      </c>
      <c r="C38" s="23" t="s">
        <v>7</v>
      </c>
      <c r="D38" s="24"/>
      <c r="E38" s="23" t="s">
        <v>19</v>
      </c>
      <c r="F38" s="23">
        <v>21</v>
      </c>
      <c r="G38" s="14">
        <v>487.87</v>
      </c>
      <c r="H38" s="14">
        <v>60.5</v>
      </c>
      <c r="I38" s="23">
        <v>1</v>
      </c>
      <c r="J38" s="23">
        <v>1</v>
      </c>
      <c r="K38" s="31">
        <f t="shared" si="3"/>
        <v>84.67165289256198</v>
      </c>
      <c r="L38" s="31">
        <f t="shared" si="1"/>
        <v>10.5</v>
      </c>
      <c r="M38" s="32">
        <f t="shared" si="4"/>
        <v>95.17165289256198</v>
      </c>
      <c r="N38" s="22" t="s">
        <v>167</v>
      </c>
    </row>
    <row r="39" spans="1:14" s="21" customFormat="1" ht="30" customHeight="1" x14ac:dyDescent="0.3">
      <c r="A39" s="62">
        <v>34</v>
      </c>
      <c r="B39" s="38">
        <v>17358</v>
      </c>
      <c r="C39" s="23" t="s">
        <v>38</v>
      </c>
      <c r="D39" s="24"/>
      <c r="E39" s="23" t="s">
        <v>19</v>
      </c>
      <c r="F39" s="23">
        <v>21</v>
      </c>
      <c r="G39" s="14">
        <v>302.02</v>
      </c>
      <c r="H39" s="14">
        <v>290.39999999999998</v>
      </c>
      <c r="I39" s="23">
        <v>1</v>
      </c>
      <c r="J39" s="23">
        <v>1</v>
      </c>
      <c r="K39" s="31">
        <f t="shared" si="3"/>
        <v>52.416694214876031</v>
      </c>
      <c r="L39" s="31">
        <f t="shared" si="1"/>
        <v>50.4</v>
      </c>
      <c r="M39" s="32">
        <f t="shared" si="4"/>
        <v>102.81669421487604</v>
      </c>
      <c r="N39" s="22" t="s">
        <v>167</v>
      </c>
    </row>
    <row r="40" spans="1:14" s="21" customFormat="1" ht="30" customHeight="1" x14ac:dyDescent="0.3">
      <c r="A40" s="62">
        <v>35</v>
      </c>
      <c r="B40" s="38">
        <v>17378</v>
      </c>
      <c r="C40" s="23" t="s">
        <v>13</v>
      </c>
      <c r="D40" s="24" t="s">
        <v>33</v>
      </c>
      <c r="E40" s="23" t="s">
        <v>8</v>
      </c>
      <c r="F40" s="23">
        <v>0</v>
      </c>
      <c r="G40" s="14">
        <v>103.5</v>
      </c>
      <c r="H40" s="14">
        <v>9</v>
      </c>
      <c r="I40" s="23"/>
      <c r="J40" s="23"/>
      <c r="K40" s="31">
        <f t="shared" si="3"/>
        <v>0</v>
      </c>
      <c r="L40" s="31">
        <f t="shared" ref="L40:L71" si="5">IF($J40=1,H40/(100+$F40)*$F40,H40/(100+F40)*F40)</f>
        <v>0</v>
      </c>
      <c r="M40" s="32">
        <f t="shared" si="4"/>
        <v>0</v>
      </c>
      <c r="N40" s="22" t="s">
        <v>167</v>
      </c>
    </row>
    <row r="41" spans="1:14" s="21" customFormat="1" ht="30" customHeight="1" x14ac:dyDescent="0.3">
      <c r="A41" s="62">
        <v>36</v>
      </c>
      <c r="B41" s="38">
        <v>17421</v>
      </c>
      <c r="C41" s="23" t="s">
        <v>28</v>
      </c>
      <c r="D41" s="24" t="s">
        <v>40</v>
      </c>
      <c r="E41" s="23" t="s">
        <v>8</v>
      </c>
      <c r="F41" s="23">
        <v>0</v>
      </c>
      <c r="G41" s="15">
        <v>301</v>
      </c>
      <c r="H41" s="15">
        <v>147</v>
      </c>
      <c r="I41" s="23"/>
      <c r="J41" s="23"/>
      <c r="K41" s="31">
        <f t="shared" si="3"/>
        <v>0</v>
      </c>
      <c r="L41" s="31">
        <f t="shared" si="5"/>
        <v>0</v>
      </c>
      <c r="M41" s="32">
        <f t="shared" si="4"/>
        <v>0</v>
      </c>
      <c r="N41" s="22" t="s">
        <v>167</v>
      </c>
    </row>
    <row r="42" spans="1:14" s="21" customFormat="1" ht="30" customHeight="1" x14ac:dyDescent="0.3">
      <c r="A42" s="62">
        <v>37</v>
      </c>
      <c r="B42" s="38">
        <v>17459</v>
      </c>
      <c r="C42" s="23" t="s">
        <v>29</v>
      </c>
      <c r="D42" s="24" t="s">
        <v>30</v>
      </c>
      <c r="E42" s="23" t="s">
        <v>8</v>
      </c>
      <c r="F42" s="23">
        <v>0</v>
      </c>
      <c r="G42" s="15">
        <v>118</v>
      </c>
      <c r="H42" s="15">
        <v>23.2</v>
      </c>
      <c r="I42" s="23"/>
      <c r="J42" s="23"/>
      <c r="K42" s="31">
        <f t="shared" si="3"/>
        <v>0</v>
      </c>
      <c r="L42" s="31">
        <f t="shared" si="5"/>
        <v>0</v>
      </c>
      <c r="M42" s="32">
        <f t="shared" si="4"/>
        <v>0</v>
      </c>
      <c r="N42" s="22" t="s">
        <v>167</v>
      </c>
    </row>
    <row r="43" spans="1:14" s="21" customFormat="1" ht="30" customHeight="1" x14ac:dyDescent="0.3">
      <c r="A43" s="62">
        <v>38</v>
      </c>
      <c r="B43" s="38">
        <v>17387</v>
      </c>
      <c r="C43" s="23" t="s">
        <v>18</v>
      </c>
      <c r="D43" s="24" t="s">
        <v>39</v>
      </c>
      <c r="E43" s="23" t="s">
        <v>8</v>
      </c>
      <c r="F43" s="23">
        <v>0</v>
      </c>
      <c r="G43" s="15">
        <v>532</v>
      </c>
      <c r="H43" s="15">
        <v>40</v>
      </c>
      <c r="I43" s="23"/>
      <c r="J43" s="23"/>
      <c r="K43" s="31">
        <f t="shared" si="3"/>
        <v>0</v>
      </c>
      <c r="L43" s="31">
        <f t="shared" si="5"/>
        <v>0</v>
      </c>
      <c r="M43" s="32">
        <f t="shared" si="4"/>
        <v>0</v>
      </c>
      <c r="N43" s="22" t="s">
        <v>167</v>
      </c>
    </row>
    <row r="44" spans="1:14" s="21" customFormat="1" ht="30" customHeight="1" x14ac:dyDescent="0.3">
      <c r="A44" s="62">
        <v>39</v>
      </c>
      <c r="B44" s="38">
        <v>17765</v>
      </c>
      <c r="C44" s="23" t="s">
        <v>13</v>
      </c>
      <c r="D44" s="24" t="s">
        <v>37</v>
      </c>
      <c r="E44" s="23" t="s">
        <v>8</v>
      </c>
      <c r="F44" s="23">
        <v>0</v>
      </c>
      <c r="G44" s="15">
        <v>91</v>
      </c>
      <c r="H44" s="15">
        <v>9</v>
      </c>
      <c r="I44" s="23"/>
      <c r="J44" s="23"/>
      <c r="K44" s="31">
        <f t="shared" si="3"/>
        <v>0</v>
      </c>
      <c r="L44" s="31">
        <f t="shared" si="5"/>
        <v>0</v>
      </c>
      <c r="M44" s="32">
        <f t="shared" si="4"/>
        <v>0</v>
      </c>
      <c r="N44" s="22" t="s">
        <v>167</v>
      </c>
    </row>
    <row r="45" spans="1:14" s="21" customFormat="1" ht="30" customHeight="1" x14ac:dyDescent="0.3">
      <c r="A45" s="62">
        <v>40</v>
      </c>
      <c r="B45" s="38">
        <v>17757</v>
      </c>
      <c r="C45" s="23" t="s">
        <v>13</v>
      </c>
      <c r="D45" s="24"/>
      <c r="E45" s="23" t="s">
        <v>19</v>
      </c>
      <c r="F45" s="23">
        <v>21</v>
      </c>
      <c r="G45" s="14">
        <v>102.85</v>
      </c>
      <c r="H45" s="14">
        <v>11.25</v>
      </c>
      <c r="I45" s="23">
        <v>1</v>
      </c>
      <c r="J45" s="23">
        <v>1</v>
      </c>
      <c r="K45" s="31">
        <f t="shared" si="3"/>
        <v>17.849999999999998</v>
      </c>
      <c r="L45" s="31">
        <f t="shared" si="5"/>
        <v>1.9524793388429751</v>
      </c>
      <c r="M45" s="32">
        <f t="shared" si="4"/>
        <v>19.802479338842971</v>
      </c>
      <c r="N45" s="22" t="s">
        <v>167</v>
      </c>
    </row>
    <row r="46" spans="1:14" s="21" customFormat="1" ht="30" customHeight="1" x14ac:dyDescent="0.3">
      <c r="A46" s="62">
        <v>41</v>
      </c>
      <c r="B46" s="38">
        <v>17870</v>
      </c>
      <c r="C46" s="23" t="s">
        <v>13</v>
      </c>
      <c r="D46" s="24"/>
      <c r="E46" s="23" t="s">
        <v>19</v>
      </c>
      <c r="F46" s="23">
        <v>21</v>
      </c>
      <c r="G46" s="14">
        <v>83.49</v>
      </c>
      <c r="H46" s="14">
        <v>10.89</v>
      </c>
      <c r="I46" s="23">
        <v>1</v>
      </c>
      <c r="J46" s="23">
        <v>1</v>
      </c>
      <c r="K46" s="31">
        <f t="shared" si="3"/>
        <v>14.489999999999998</v>
      </c>
      <c r="L46" s="31">
        <f t="shared" si="5"/>
        <v>1.8900000000000001</v>
      </c>
      <c r="M46" s="32">
        <f t="shared" si="4"/>
        <v>16.38</v>
      </c>
      <c r="N46" s="22" t="s">
        <v>167</v>
      </c>
    </row>
    <row r="47" spans="1:14" s="21" customFormat="1" ht="30" customHeight="1" x14ac:dyDescent="0.3">
      <c r="A47" s="62">
        <v>42</v>
      </c>
      <c r="B47" s="38">
        <v>17885</v>
      </c>
      <c r="C47" s="23" t="s">
        <v>28</v>
      </c>
      <c r="D47" s="24" t="s">
        <v>40</v>
      </c>
      <c r="E47" s="23" t="s">
        <v>8</v>
      </c>
      <c r="F47" s="23">
        <v>0</v>
      </c>
      <c r="G47" s="15">
        <v>129</v>
      </c>
      <c r="H47" s="15">
        <v>63</v>
      </c>
      <c r="I47" s="23"/>
      <c r="J47" s="23"/>
      <c r="K47" s="31">
        <f t="shared" si="3"/>
        <v>0</v>
      </c>
      <c r="L47" s="31">
        <f t="shared" si="5"/>
        <v>0</v>
      </c>
      <c r="M47" s="32">
        <f t="shared" si="4"/>
        <v>0</v>
      </c>
      <c r="N47" s="22" t="s">
        <v>167</v>
      </c>
    </row>
    <row r="48" spans="1:14" s="21" customFormat="1" ht="30" customHeight="1" x14ac:dyDescent="0.3">
      <c r="A48" s="41">
        <v>43</v>
      </c>
      <c r="B48" s="42">
        <v>17766</v>
      </c>
      <c r="C48" s="43" t="s">
        <v>18</v>
      </c>
      <c r="D48" s="44"/>
      <c r="E48" s="43" t="s">
        <v>19</v>
      </c>
      <c r="F48" s="43">
        <v>21</v>
      </c>
      <c r="G48" s="45">
        <v>1317.69</v>
      </c>
      <c r="H48" s="45">
        <v>0</v>
      </c>
      <c r="I48" s="43">
        <v>1</v>
      </c>
      <c r="J48" s="43"/>
      <c r="K48" s="45">
        <f t="shared" si="3"/>
        <v>228.69</v>
      </c>
      <c r="L48" s="45">
        <f t="shared" si="5"/>
        <v>0</v>
      </c>
      <c r="M48" s="46">
        <f t="shared" si="4"/>
        <v>228.69</v>
      </c>
      <c r="N48" s="47" t="s">
        <v>82</v>
      </c>
    </row>
    <row r="49" spans="1:14" ht="30" customHeight="1" x14ac:dyDescent="0.3">
      <c r="A49" s="62">
        <v>44</v>
      </c>
      <c r="B49" s="38">
        <v>18159</v>
      </c>
      <c r="C49" s="23" t="s">
        <v>7</v>
      </c>
      <c r="D49" s="24" t="s">
        <v>32</v>
      </c>
      <c r="E49" s="23" t="s">
        <v>8</v>
      </c>
      <c r="F49" s="23">
        <v>21</v>
      </c>
      <c r="G49" s="14">
        <v>19.12</v>
      </c>
      <c r="H49" s="14">
        <v>6.41</v>
      </c>
      <c r="I49" s="23">
        <v>1</v>
      </c>
      <c r="J49" s="23">
        <v>1</v>
      </c>
      <c r="K49" s="31">
        <f t="shared" si="3"/>
        <v>3.3183471074380169</v>
      </c>
      <c r="L49" s="31">
        <f t="shared" si="5"/>
        <v>1.1124793388429752</v>
      </c>
      <c r="M49" s="32">
        <f t="shared" si="4"/>
        <v>4.4308264462809923</v>
      </c>
      <c r="N49" s="22" t="s">
        <v>167</v>
      </c>
    </row>
    <row r="50" spans="1:14" ht="30" customHeight="1" x14ac:dyDescent="0.3">
      <c r="A50" s="41">
        <v>45</v>
      </c>
      <c r="B50" s="42">
        <v>17764</v>
      </c>
      <c r="C50" s="43" t="s">
        <v>18</v>
      </c>
      <c r="D50" s="44"/>
      <c r="E50" s="43" t="s">
        <v>19</v>
      </c>
      <c r="F50" s="43">
        <v>21</v>
      </c>
      <c r="G50" s="45">
        <v>304.5</v>
      </c>
      <c r="H50" s="45">
        <v>9.3000000000000007</v>
      </c>
      <c r="I50" s="43"/>
      <c r="J50" s="43"/>
      <c r="K50" s="45"/>
      <c r="L50" s="45">
        <f t="shared" si="5"/>
        <v>1.6140495867768596</v>
      </c>
      <c r="M50" s="46"/>
      <c r="N50" s="47" t="s">
        <v>82</v>
      </c>
    </row>
    <row r="51" spans="1:14" ht="30" customHeight="1" x14ac:dyDescent="0.3">
      <c r="A51" s="62">
        <v>46</v>
      </c>
      <c r="B51" s="38">
        <v>18122</v>
      </c>
      <c r="C51" s="23" t="s">
        <v>18</v>
      </c>
      <c r="D51" s="24"/>
      <c r="E51" s="23" t="s">
        <v>19</v>
      </c>
      <c r="F51" s="23">
        <v>21</v>
      </c>
      <c r="G51" s="14">
        <v>185.86</v>
      </c>
      <c r="H51" s="14">
        <v>145.5</v>
      </c>
      <c r="I51" s="23">
        <v>1</v>
      </c>
      <c r="J51" s="23">
        <v>1</v>
      </c>
      <c r="K51" s="31">
        <f t="shared" ref="K51:K84" si="6">IF($I51=1,G51/(100+$F51)*$F51,G51/100*F51)</f>
        <v>32.256694214876035</v>
      </c>
      <c r="L51" s="31">
        <f t="shared" si="5"/>
        <v>25.252066115702483</v>
      </c>
      <c r="M51" s="32">
        <f>IF(AND(I51&lt;&gt;1,J51&lt;&gt;1),(G51+H51)/100*F51,K51+L51)</f>
        <v>57.508760330578518</v>
      </c>
      <c r="N51" s="22" t="s">
        <v>167</v>
      </c>
    </row>
    <row r="52" spans="1:14" ht="30" customHeight="1" x14ac:dyDescent="0.3">
      <c r="A52" s="62">
        <v>47</v>
      </c>
      <c r="B52" s="38">
        <v>18123</v>
      </c>
      <c r="C52" s="23" t="s">
        <v>7</v>
      </c>
      <c r="D52" s="24"/>
      <c r="E52" s="23" t="s">
        <v>19</v>
      </c>
      <c r="F52" s="23">
        <v>21</v>
      </c>
      <c r="G52" s="14">
        <v>209.09</v>
      </c>
      <c r="H52" s="14">
        <v>103</v>
      </c>
      <c r="I52" s="23">
        <v>1</v>
      </c>
      <c r="J52" s="23">
        <v>1</v>
      </c>
      <c r="K52" s="31">
        <f t="shared" si="6"/>
        <v>36.288347107438021</v>
      </c>
      <c r="L52" s="31">
        <f t="shared" si="5"/>
        <v>17.876033057851242</v>
      </c>
      <c r="M52" s="32">
        <v>54.17</v>
      </c>
      <c r="N52" s="22" t="s">
        <v>167</v>
      </c>
    </row>
    <row r="53" spans="1:14" s="21" customFormat="1" ht="30" customHeight="1" x14ac:dyDescent="0.3">
      <c r="A53" s="18">
        <v>48</v>
      </c>
      <c r="B53" s="37">
        <v>18157</v>
      </c>
      <c r="C53" s="19" t="s">
        <v>41</v>
      </c>
      <c r="D53" s="20"/>
      <c r="E53" s="19" t="s">
        <v>19</v>
      </c>
      <c r="F53" s="19">
        <v>21</v>
      </c>
      <c r="G53" s="14">
        <v>14.7</v>
      </c>
      <c r="H53" s="14">
        <v>18.760000000000002</v>
      </c>
      <c r="I53" s="19">
        <v>1</v>
      </c>
      <c r="J53" s="19">
        <v>1</v>
      </c>
      <c r="K53" s="33">
        <f t="shared" si="6"/>
        <v>2.5512396694214874</v>
      </c>
      <c r="L53" s="33">
        <f t="shared" si="5"/>
        <v>3.2558677685950417</v>
      </c>
      <c r="M53" s="34">
        <f t="shared" ref="M53:M66" si="7">IF(AND(I53&lt;&gt;1,J53&lt;&gt;1),(G53+H53)/100*F53,K53+L53)</f>
        <v>5.8071074380165291</v>
      </c>
      <c r="N53" s="35" t="s">
        <v>167</v>
      </c>
    </row>
    <row r="54" spans="1:14" ht="30" customHeight="1" x14ac:dyDescent="0.3">
      <c r="A54" s="62">
        <v>49</v>
      </c>
      <c r="B54" s="38">
        <v>18185</v>
      </c>
      <c r="C54" s="23" t="s">
        <v>18</v>
      </c>
      <c r="D54" s="24" t="s">
        <v>42</v>
      </c>
      <c r="E54" s="23" t="s">
        <v>8</v>
      </c>
      <c r="F54" s="23">
        <v>0</v>
      </c>
      <c r="G54" s="15">
        <v>27.7</v>
      </c>
      <c r="H54" s="15">
        <v>9</v>
      </c>
      <c r="I54" s="23"/>
      <c r="J54" s="23"/>
      <c r="K54" s="31">
        <f t="shared" si="6"/>
        <v>0</v>
      </c>
      <c r="L54" s="31">
        <f t="shared" si="5"/>
        <v>0</v>
      </c>
      <c r="M54" s="32">
        <f t="shared" si="7"/>
        <v>0</v>
      </c>
      <c r="N54" s="22" t="s">
        <v>167</v>
      </c>
    </row>
    <row r="55" spans="1:14" ht="30" customHeight="1" x14ac:dyDescent="0.3">
      <c r="A55" s="62">
        <v>50</v>
      </c>
      <c r="B55" s="38">
        <v>18165</v>
      </c>
      <c r="C55" s="23" t="s">
        <v>18</v>
      </c>
      <c r="D55" s="24"/>
      <c r="E55" s="23" t="s">
        <v>19</v>
      </c>
      <c r="F55" s="23">
        <v>21</v>
      </c>
      <c r="G55" s="14">
        <v>131.16</v>
      </c>
      <c r="H55" s="14">
        <v>37</v>
      </c>
      <c r="I55" s="23">
        <v>1</v>
      </c>
      <c r="J55" s="23">
        <v>1</v>
      </c>
      <c r="K55" s="31">
        <f t="shared" si="6"/>
        <v>22.763305785123968</v>
      </c>
      <c r="L55" s="31">
        <f t="shared" si="5"/>
        <v>6.4214876033057848</v>
      </c>
      <c r="M55" s="32">
        <f t="shared" si="7"/>
        <v>29.184793388429753</v>
      </c>
      <c r="N55" s="22" t="s">
        <v>167</v>
      </c>
    </row>
    <row r="56" spans="1:14" ht="30" customHeight="1" x14ac:dyDescent="0.3">
      <c r="A56" s="41">
        <v>51</v>
      </c>
      <c r="B56" s="42">
        <v>18156</v>
      </c>
      <c r="C56" s="43" t="s">
        <v>18</v>
      </c>
      <c r="D56" s="44"/>
      <c r="E56" s="43" t="s">
        <v>19</v>
      </c>
      <c r="F56" s="43">
        <v>21</v>
      </c>
      <c r="G56" s="45">
        <v>174.24</v>
      </c>
      <c r="H56" s="45">
        <v>0</v>
      </c>
      <c r="I56" s="43">
        <v>1</v>
      </c>
      <c r="J56" s="43"/>
      <c r="K56" s="45">
        <f t="shared" si="6"/>
        <v>30.240000000000002</v>
      </c>
      <c r="L56" s="45">
        <f t="shared" si="5"/>
        <v>0</v>
      </c>
      <c r="M56" s="46">
        <f t="shared" si="7"/>
        <v>30.240000000000002</v>
      </c>
      <c r="N56" s="47" t="s">
        <v>82</v>
      </c>
    </row>
    <row r="57" spans="1:14" ht="30" customHeight="1" x14ac:dyDescent="0.3">
      <c r="A57" s="62">
        <v>52</v>
      </c>
      <c r="B57" s="38">
        <v>18184</v>
      </c>
      <c r="C57" s="23" t="s">
        <v>18</v>
      </c>
      <c r="D57" s="24"/>
      <c r="E57" s="23" t="s">
        <v>19</v>
      </c>
      <c r="F57" s="23">
        <v>21</v>
      </c>
      <c r="G57" s="14">
        <v>229.66</v>
      </c>
      <c r="H57" s="14">
        <v>10.89</v>
      </c>
      <c r="I57" s="23">
        <v>1</v>
      </c>
      <c r="J57" s="23">
        <v>1</v>
      </c>
      <c r="K57" s="31">
        <f t="shared" si="6"/>
        <v>39.858347107438021</v>
      </c>
      <c r="L57" s="31">
        <f t="shared" si="5"/>
        <v>1.8900000000000001</v>
      </c>
      <c r="M57" s="32">
        <f t="shared" si="7"/>
        <v>41.748347107438022</v>
      </c>
      <c r="N57" s="22" t="s">
        <v>167</v>
      </c>
    </row>
    <row r="58" spans="1:14" ht="30" customHeight="1" x14ac:dyDescent="0.3">
      <c r="A58" s="41">
        <v>53</v>
      </c>
      <c r="B58" s="42">
        <v>18187</v>
      </c>
      <c r="C58" s="43" t="s">
        <v>18</v>
      </c>
      <c r="D58" s="44"/>
      <c r="E58" s="43" t="s">
        <v>19</v>
      </c>
      <c r="F58" s="43">
        <v>21</v>
      </c>
      <c r="G58" s="45">
        <v>1029.47</v>
      </c>
      <c r="H58" s="45">
        <v>0</v>
      </c>
      <c r="I58" s="43">
        <v>1</v>
      </c>
      <c r="J58" s="43"/>
      <c r="K58" s="45">
        <f t="shared" si="6"/>
        <v>178.668347107438</v>
      </c>
      <c r="L58" s="45">
        <f t="shared" si="5"/>
        <v>0</v>
      </c>
      <c r="M58" s="46">
        <f t="shared" si="7"/>
        <v>178.668347107438</v>
      </c>
      <c r="N58" s="47" t="s">
        <v>136</v>
      </c>
    </row>
    <row r="59" spans="1:14" s="21" customFormat="1" ht="30" customHeight="1" x14ac:dyDescent="0.3">
      <c r="A59" s="62">
        <v>54</v>
      </c>
      <c r="B59" s="38">
        <v>30336</v>
      </c>
      <c r="C59" s="23" t="s">
        <v>13</v>
      </c>
      <c r="D59" s="24"/>
      <c r="E59" s="23" t="s">
        <v>19</v>
      </c>
      <c r="F59" s="23">
        <v>21</v>
      </c>
      <c r="G59" s="14">
        <v>1.45</v>
      </c>
      <c r="H59" s="14">
        <v>9</v>
      </c>
      <c r="I59" s="23"/>
      <c r="J59" s="23"/>
      <c r="K59" s="31">
        <f t="shared" si="6"/>
        <v>0.30449999999999999</v>
      </c>
      <c r="L59" s="31">
        <f t="shared" si="5"/>
        <v>1.5619834710743803</v>
      </c>
      <c r="M59" s="32">
        <f t="shared" si="7"/>
        <v>2.1945000000000001</v>
      </c>
      <c r="N59" s="63" t="s">
        <v>169</v>
      </c>
    </row>
    <row r="60" spans="1:14" ht="30" customHeight="1" x14ac:dyDescent="0.3">
      <c r="A60" s="62">
        <v>55</v>
      </c>
      <c r="B60" s="38">
        <v>30339</v>
      </c>
      <c r="C60" s="23" t="s">
        <v>7</v>
      </c>
      <c r="D60" s="24"/>
      <c r="E60" s="23" t="s">
        <v>19</v>
      </c>
      <c r="F60" s="23">
        <v>21</v>
      </c>
      <c r="G60" s="14">
        <v>49.95</v>
      </c>
      <c r="H60" s="14">
        <v>0</v>
      </c>
      <c r="I60" s="23"/>
      <c r="J60" s="23"/>
      <c r="K60" s="31">
        <f t="shared" si="6"/>
        <v>10.489500000000001</v>
      </c>
      <c r="L60" s="31">
        <f t="shared" si="5"/>
        <v>0</v>
      </c>
      <c r="M60" s="32">
        <f t="shared" si="7"/>
        <v>10.489500000000001</v>
      </c>
      <c r="N60" s="63" t="s">
        <v>170</v>
      </c>
    </row>
    <row r="61" spans="1:14" ht="30" customHeight="1" x14ac:dyDescent="0.3">
      <c r="A61" s="62">
        <v>56</v>
      </c>
      <c r="B61" s="38">
        <v>19490</v>
      </c>
      <c r="C61" s="23" t="s">
        <v>18</v>
      </c>
      <c r="D61" s="24"/>
      <c r="E61" s="23" t="s">
        <v>19</v>
      </c>
      <c r="F61" s="23">
        <v>21</v>
      </c>
      <c r="G61" s="14">
        <v>360</v>
      </c>
      <c r="H61" s="14">
        <v>20</v>
      </c>
      <c r="I61" s="23"/>
      <c r="J61" s="23"/>
      <c r="K61" s="31">
        <f t="shared" si="6"/>
        <v>75.600000000000009</v>
      </c>
      <c r="L61" s="31">
        <f t="shared" si="5"/>
        <v>3.4710743801652892</v>
      </c>
      <c r="M61" s="32">
        <f t="shared" si="7"/>
        <v>79.8</v>
      </c>
      <c r="N61" s="22" t="s">
        <v>167</v>
      </c>
    </row>
    <row r="62" spans="1:14" ht="30" customHeight="1" x14ac:dyDescent="0.3">
      <c r="A62" s="62">
        <v>57</v>
      </c>
      <c r="B62" s="38">
        <v>19508</v>
      </c>
      <c r="C62" s="23" t="s">
        <v>7</v>
      </c>
      <c r="D62" s="24"/>
      <c r="E62" s="23" t="s">
        <v>19</v>
      </c>
      <c r="F62" s="23">
        <v>21</v>
      </c>
      <c r="G62" s="14">
        <v>56.8</v>
      </c>
      <c r="H62" s="14">
        <v>5.3</v>
      </c>
      <c r="I62" s="23"/>
      <c r="J62" s="23"/>
      <c r="K62" s="31">
        <f t="shared" si="6"/>
        <v>11.927999999999999</v>
      </c>
      <c r="L62" s="31">
        <f t="shared" si="5"/>
        <v>0.91983471074380152</v>
      </c>
      <c r="M62" s="32">
        <f t="shared" si="7"/>
        <v>13.041</v>
      </c>
      <c r="N62" s="22" t="s">
        <v>167</v>
      </c>
    </row>
    <row r="63" spans="1:14" ht="30" customHeight="1" x14ac:dyDescent="0.3">
      <c r="A63" s="62">
        <v>57</v>
      </c>
      <c r="B63" s="38">
        <v>20772</v>
      </c>
      <c r="C63" s="23" t="s">
        <v>18</v>
      </c>
      <c r="D63" s="24" t="s">
        <v>44</v>
      </c>
      <c r="E63" s="23" t="s">
        <v>8</v>
      </c>
      <c r="F63" s="23">
        <v>21</v>
      </c>
      <c r="G63" s="15">
        <v>360</v>
      </c>
      <c r="H63" s="15">
        <v>60</v>
      </c>
      <c r="I63" s="23">
        <v>1</v>
      </c>
      <c r="J63" s="23">
        <v>1</v>
      </c>
      <c r="K63" s="31">
        <f t="shared" si="6"/>
        <v>62.479338842975203</v>
      </c>
      <c r="L63" s="31">
        <f t="shared" si="5"/>
        <v>10.413223140495868</v>
      </c>
      <c r="M63" s="32">
        <f t="shared" si="7"/>
        <v>72.892561983471069</v>
      </c>
      <c r="N63" s="22" t="s">
        <v>167</v>
      </c>
    </row>
    <row r="64" spans="1:14" ht="30" customHeight="1" x14ac:dyDescent="0.3">
      <c r="A64" s="62">
        <v>58</v>
      </c>
      <c r="B64" s="38">
        <v>19511</v>
      </c>
      <c r="C64" s="23" t="s">
        <v>18</v>
      </c>
      <c r="D64" s="24"/>
      <c r="E64" s="23" t="s">
        <v>19</v>
      </c>
      <c r="F64" s="23">
        <v>21</v>
      </c>
      <c r="G64" s="14">
        <v>1.45</v>
      </c>
      <c r="H64" s="14">
        <v>9</v>
      </c>
      <c r="I64" s="23"/>
      <c r="J64" s="23"/>
      <c r="K64" s="31">
        <f t="shared" si="6"/>
        <v>0.30449999999999999</v>
      </c>
      <c r="L64" s="31">
        <f t="shared" si="5"/>
        <v>1.5619834710743803</v>
      </c>
      <c r="M64" s="32">
        <f t="shared" si="7"/>
        <v>2.1945000000000001</v>
      </c>
      <c r="N64" s="22" t="s">
        <v>167</v>
      </c>
    </row>
    <row r="65" spans="1:14" ht="30" customHeight="1" x14ac:dyDescent="0.3">
      <c r="A65" s="62">
        <v>59</v>
      </c>
      <c r="B65" s="38">
        <v>19512</v>
      </c>
      <c r="C65" s="23" t="s">
        <v>13</v>
      </c>
      <c r="D65" s="24"/>
      <c r="E65" s="23" t="s">
        <v>19</v>
      </c>
      <c r="F65" s="23">
        <v>21</v>
      </c>
      <c r="G65" s="14">
        <v>67.5</v>
      </c>
      <c r="H65" s="14">
        <v>9</v>
      </c>
      <c r="I65" s="23"/>
      <c r="J65" s="23"/>
      <c r="K65" s="31">
        <f t="shared" si="6"/>
        <v>14.175000000000001</v>
      </c>
      <c r="L65" s="31">
        <f t="shared" si="5"/>
        <v>1.5619834710743803</v>
      </c>
      <c r="M65" s="32">
        <f t="shared" si="7"/>
        <v>16.065000000000001</v>
      </c>
      <c r="N65" s="22" t="s">
        <v>167</v>
      </c>
    </row>
    <row r="66" spans="1:14" ht="50.25" customHeight="1" x14ac:dyDescent="0.3">
      <c r="A66" s="62">
        <v>60</v>
      </c>
      <c r="B66" s="38">
        <v>19509</v>
      </c>
      <c r="C66" s="23" t="s">
        <v>13</v>
      </c>
      <c r="D66" s="24" t="s">
        <v>43</v>
      </c>
      <c r="E66" s="23" t="s">
        <v>8</v>
      </c>
      <c r="F66" s="23">
        <v>0</v>
      </c>
      <c r="G66" s="15">
        <v>60</v>
      </c>
      <c r="H66" s="15">
        <v>20</v>
      </c>
      <c r="I66" s="23"/>
      <c r="J66" s="23"/>
      <c r="K66" s="31">
        <f t="shared" si="6"/>
        <v>0</v>
      </c>
      <c r="L66" s="31">
        <f t="shared" si="5"/>
        <v>0</v>
      </c>
      <c r="M66" s="32">
        <f t="shared" si="7"/>
        <v>0</v>
      </c>
      <c r="N66" s="22" t="s">
        <v>167</v>
      </c>
    </row>
    <row r="67" spans="1:14" ht="30" customHeight="1" x14ac:dyDescent="0.3">
      <c r="A67" s="62">
        <v>61</v>
      </c>
      <c r="B67" s="38">
        <v>20733</v>
      </c>
      <c r="C67" s="23" t="s">
        <v>18</v>
      </c>
      <c r="D67" s="24"/>
      <c r="E67" s="23" t="s">
        <v>19</v>
      </c>
      <c r="F67" s="23">
        <v>21</v>
      </c>
      <c r="G67" s="14">
        <v>253.95</v>
      </c>
      <c r="H67" s="14">
        <v>32</v>
      </c>
      <c r="I67" s="23"/>
      <c r="J67" s="23"/>
      <c r="K67" s="31">
        <f t="shared" si="6"/>
        <v>53.329499999999996</v>
      </c>
      <c r="L67" s="31">
        <f t="shared" si="5"/>
        <v>5.553719008264463</v>
      </c>
      <c r="M67" s="32">
        <v>60.06</v>
      </c>
      <c r="N67" s="22" t="s">
        <v>167</v>
      </c>
    </row>
    <row r="68" spans="1:14" ht="30" customHeight="1" x14ac:dyDescent="0.3">
      <c r="A68" s="62">
        <v>62</v>
      </c>
      <c r="B68" s="38">
        <v>19513</v>
      </c>
      <c r="C68" s="23" t="s">
        <v>13</v>
      </c>
      <c r="D68" s="24"/>
      <c r="E68" s="23" t="s">
        <v>19</v>
      </c>
      <c r="F68" s="23">
        <v>21</v>
      </c>
      <c r="G68" s="14">
        <v>4.6500000000000004</v>
      </c>
      <c r="H68" s="14">
        <v>9</v>
      </c>
      <c r="I68" s="23"/>
      <c r="J68" s="23"/>
      <c r="K68" s="31">
        <f t="shared" si="6"/>
        <v>0.97650000000000015</v>
      </c>
      <c r="L68" s="31">
        <f t="shared" si="5"/>
        <v>1.5619834710743803</v>
      </c>
      <c r="M68" s="32">
        <v>2.86</v>
      </c>
      <c r="N68" s="22" t="s">
        <v>167</v>
      </c>
    </row>
    <row r="69" spans="1:14" ht="30" customHeight="1" x14ac:dyDescent="0.3">
      <c r="A69" s="62">
        <v>63</v>
      </c>
      <c r="B69" s="38">
        <v>20771</v>
      </c>
      <c r="C69" s="23" t="s">
        <v>7</v>
      </c>
      <c r="D69" s="24" t="s">
        <v>32</v>
      </c>
      <c r="E69" s="23" t="s">
        <v>8</v>
      </c>
      <c r="F69" s="23">
        <v>21</v>
      </c>
      <c r="G69" s="14">
        <v>31.6</v>
      </c>
      <c r="H69" s="14">
        <v>5.3</v>
      </c>
      <c r="I69" s="23"/>
      <c r="J69" s="23"/>
      <c r="K69" s="31">
        <f t="shared" si="6"/>
        <v>6.6360000000000001</v>
      </c>
      <c r="L69" s="31">
        <f t="shared" si="5"/>
        <v>0.91983471074380152</v>
      </c>
      <c r="M69" s="32">
        <f t="shared" ref="M69:M84" si="8">IF(AND(I69&lt;&gt;1,J69&lt;&gt;1),(G69+H69)/100*F69,K69+L69)</f>
        <v>7.7489999999999997</v>
      </c>
      <c r="N69" s="22" t="s">
        <v>167</v>
      </c>
    </row>
    <row r="70" spans="1:14" s="21" customFormat="1" ht="30" customHeight="1" x14ac:dyDescent="0.3">
      <c r="A70" s="62">
        <v>64</v>
      </c>
      <c r="B70" s="39">
        <v>30515</v>
      </c>
      <c r="C70" s="23" t="s">
        <v>18</v>
      </c>
      <c r="D70" s="24"/>
      <c r="E70" s="23" t="s">
        <v>19</v>
      </c>
      <c r="F70" s="23">
        <v>21</v>
      </c>
      <c r="G70" s="15">
        <v>2.4900000000000002</v>
      </c>
      <c r="H70" s="15">
        <v>8.85</v>
      </c>
      <c r="I70" s="23"/>
      <c r="J70" s="23"/>
      <c r="K70" s="31">
        <f t="shared" si="6"/>
        <v>0.52290000000000003</v>
      </c>
      <c r="L70" s="31">
        <f t="shared" si="5"/>
        <v>1.5359504132231405</v>
      </c>
      <c r="M70" s="32">
        <f t="shared" si="8"/>
        <v>2.3814000000000002</v>
      </c>
      <c r="N70" s="22" t="s">
        <v>167</v>
      </c>
    </row>
    <row r="71" spans="1:14" s="21" customFormat="1" ht="30" customHeight="1" x14ac:dyDescent="0.3">
      <c r="A71" s="62">
        <v>65</v>
      </c>
      <c r="B71" s="39">
        <v>30906</v>
      </c>
      <c r="C71" s="23" t="s">
        <v>28</v>
      </c>
      <c r="D71" s="24" t="s">
        <v>85</v>
      </c>
      <c r="E71" s="23" t="s">
        <v>8</v>
      </c>
      <c r="F71" s="23">
        <v>0</v>
      </c>
      <c r="G71" s="15">
        <v>342</v>
      </c>
      <c r="H71" s="15">
        <v>0</v>
      </c>
      <c r="I71" s="23"/>
      <c r="J71" s="23"/>
      <c r="K71" s="31">
        <f t="shared" si="6"/>
        <v>0</v>
      </c>
      <c r="L71" s="31">
        <f t="shared" si="5"/>
        <v>0</v>
      </c>
      <c r="M71" s="32">
        <f t="shared" si="8"/>
        <v>0</v>
      </c>
      <c r="N71" s="22" t="s">
        <v>167</v>
      </c>
    </row>
    <row r="72" spans="1:14" s="21" customFormat="1" ht="30" customHeight="1" x14ac:dyDescent="0.3">
      <c r="A72" s="62">
        <v>66</v>
      </c>
      <c r="B72" s="39">
        <v>31178</v>
      </c>
      <c r="C72" s="23" t="s">
        <v>13</v>
      </c>
      <c r="D72" s="24"/>
      <c r="E72" s="23" t="s">
        <v>19</v>
      </c>
      <c r="F72" s="23">
        <v>21</v>
      </c>
      <c r="G72" s="15">
        <v>15.1</v>
      </c>
      <c r="H72" s="15">
        <v>9</v>
      </c>
      <c r="I72" s="23"/>
      <c r="J72" s="23"/>
      <c r="K72" s="31">
        <f t="shared" si="6"/>
        <v>3.1709999999999998</v>
      </c>
      <c r="L72" s="31">
        <f t="shared" ref="L72:L84" si="9">IF($J72=1,H72/(100+$F72)*$F72,H72/(100+F72)*F72)</f>
        <v>1.5619834710743803</v>
      </c>
      <c r="M72" s="32">
        <f t="shared" si="8"/>
        <v>5.0610000000000008</v>
      </c>
      <c r="N72" s="63" t="s">
        <v>171</v>
      </c>
    </row>
    <row r="73" spans="1:14" s="21" customFormat="1" ht="30" customHeight="1" x14ac:dyDescent="0.3">
      <c r="A73" s="62">
        <v>67</v>
      </c>
      <c r="B73" s="39">
        <v>31172</v>
      </c>
      <c r="C73" s="23" t="s">
        <v>13</v>
      </c>
      <c r="D73" s="24" t="s">
        <v>86</v>
      </c>
      <c r="E73" s="23" t="s">
        <v>8</v>
      </c>
      <c r="F73" s="23">
        <v>0</v>
      </c>
      <c r="G73" s="15">
        <v>456</v>
      </c>
      <c r="H73" s="15">
        <v>10.89</v>
      </c>
      <c r="I73" s="23"/>
      <c r="J73" s="23"/>
      <c r="K73" s="31">
        <f t="shared" si="6"/>
        <v>0</v>
      </c>
      <c r="L73" s="31">
        <f t="shared" si="9"/>
        <v>0</v>
      </c>
      <c r="M73" s="32">
        <f t="shared" si="8"/>
        <v>0</v>
      </c>
      <c r="N73" s="22" t="s">
        <v>84</v>
      </c>
    </row>
    <row r="74" spans="1:14" s="21" customFormat="1" ht="30" customHeight="1" x14ac:dyDescent="0.3">
      <c r="A74" s="62">
        <v>68</v>
      </c>
      <c r="B74" s="39">
        <v>33883</v>
      </c>
      <c r="C74" s="23" t="s">
        <v>18</v>
      </c>
      <c r="D74" s="24"/>
      <c r="E74" s="23" t="s">
        <v>19</v>
      </c>
      <c r="F74" s="23">
        <v>21</v>
      </c>
      <c r="G74" s="15">
        <v>4.6500000000000004</v>
      </c>
      <c r="H74" s="15">
        <v>8.8490000000000002</v>
      </c>
      <c r="I74" s="23"/>
      <c r="J74" s="23"/>
      <c r="K74" s="31">
        <f t="shared" si="6"/>
        <v>0.97650000000000015</v>
      </c>
      <c r="L74" s="31">
        <f t="shared" si="9"/>
        <v>1.5357768595041323</v>
      </c>
      <c r="M74" s="32">
        <f t="shared" si="8"/>
        <v>2.8347899999999999</v>
      </c>
      <c r="N74" s="22" t="s">
        <v>167</v>
      </c>
    </row>
    <row r="75" spans="1:14" s="21" customFormat="1" ht="30" customHeight="1" x14ac:dyDescent="0.3">
      <c r="A75" s="62">
        <v>69</v>
      </c>
      <c r="B75" s="39" t="s">
        <v>162</v>
      </c>
      <c r="C75" s="23"/>
      <c r="D75" s="24"/>
      <c r="E75" s="23"/>
      <c r="F75" s="23"/>
      <c r="G75" s="15"/>
      <c r="H75" s="15"/>
      <c r="I75" s="23"/>
      <c r="J75" s="23"/>
      <c r="K75" s="31">
        <f t="shared" si="6"/>
        <v>0</v>
      </c>
      <c r="L75" s="31">
        <f t="shared" si="9"/>
        <v>0</v>
      </c>
      <c r="M75" s="32">
        <f t="shared" si="8"/>
        <v>0</v>
      </c>
      <c r="N75" s="22" t="s">
        <v>162</v>
      </c>
    </row>
    <row r="76" spans="1:14" s="21" customFormat="1" ht="30" customHeight="1" x14ac:dyDescent="0.3">
      <c r="A76" s="62">
        <v>70</v>
      </c>
      <c r="B76" s="39">
        <v>20772</v>
      </c>
      <c r="C76" s="23" t="s">
        <v>18</v>
      </c>
      <c r="D76" s="24" t="s">
        <v>44</v>
      </c>
      <c r="E76" s="23" t="s">
        <v>8</v>
      </c>
      <c r="F76" s="23">
        <v>0</v>
      </c>
      <c r="G76" s="15">
        <v>360</v>
      </c>
      <c r="H76" s="15">
        <v>60</v>
      </c>
      <c r="I76" s="23"/>
      <c r="J76" s="23"/>
      <c r="K76" s="31">
        <f t="shared" si="6"/>
        <v>0</v>
      </c>
      <c r="L76" s="31">
        <f t="shared" si="9"/>
        <v>0</v>
      </c>
      <c r="M76" s="32">
        <f t="shared" si="8"/>
        <v>0</v>
      </c>
      <c r="N76" s="22" t="s">
        <v>172</v>
      </c>
    </row>
    <row r="77" spans="1:14" s="21" customFormat="1" ht="30" customHeight="1" x14ac:dyDescent="0.3">
      <c r="A77" s="62">
        <v>71</v>
      </c>
      <c r="B77" s="39">
        <v>25550</v>
      </c>
      <c r="C77" s="23" t="s">
        <v>13</v>
      </c>
      <c r="D77" s="24" t="s">
        <v>163</v>
      </c>
      <c r="E77" s="23" t="s">
        <v>8</v>
      </c>
      <c r="F77" s="23">
        <v>0</v>
      </c>
      <c r="G77" s="15">
        <v>149.5</v>
      </c>
      <c r="H77" s="15">
        <v>9</v>
      </c>
      <c r="I77" s="23"/>
      <c r="J77" s="23"/>
      <c r="K77" s="31">
        <f t="shared" si="6"/>
        <v>0</v>
      </c>
      <c r="L77" s="31">
        <f t="shared" si="9"/>
        <v>0</v>
      </c>
      <c r="M77" s="32">
        <f t="shared" si="8"/>
        <v>0</v>
      </c>
      <c r="N77" s="22" t="s">
        <v>167</v>
      </c>
    </row>
    <row r="78" spans="1:14" s="21" customFormat="1" ht="30" customHeight="1" x14ac:dyDescent="0.3">
      <c r="A78" s="62">
        <v>72</v>
      </c>
      <c r="B78" s="39">
        <v>24545</v>
      </c>
      <c r="C78" s="23" t="s">
        <v>7</v>
      </c>
      <c r="D78" s="24" t="s">
        <v>164</v>
      </c>
      <c r="E78" s="23" t="s">
        <v>8</v>
      </c>
      <c r="F78" s="23">
        <v>21</v>
      </c>
      <c r="G78" s="15">
        <v>97.99</v>
      </c>
      <c r="H78" s="15">
        <v>5.3</v>
      </c>
      <c r="I78" s="23"/>
      <c r="J78" s="23"/>
      <c r="K78" s="31">
        <f t="shared" si="6"/>
        <v>20.5779</v>
      </c>
      <c r="L78" s="31">
        <f t="shared" si="9"/>
        <v>0.91983471074380152</v>
      </c>
      <c r="M78" s="32">
        <f t="shared" si="8"/>
        <v>21.690899999999999</v>
      </c>
      <c r="N78" s="22" t="s">
        <v>167</v>
      </c>
    </row>
    <row r="79" spans="1:14" s="21" customFormat="1" ht="30" customHeight="1" x14ac:dyDescent="0.3">
      <c r="A79" s="62">
        <v>73</v>
      </c>
      <c r="B79" s="39">
        <v>28094</v>
      </c>
      <c r="C79" s="23" t="s">
        <v>18</v>
      </c>
      <c r="D79" s="24" t="s">
        <v>165</v>
      </c>
      <c r="E79" s="23" t="s">
        <v>8</v>
      </c>
      <c r="F79" s="23">
        <v>0</v>
      </c>
      <c r="G79" s="15">
        <v>7.25</v>
      </c>
      <c r="H79" s="15">
        <v>9</v>
      </c>
      <c r="I79" s="23"/>
      <c r="J79" s="23"/>
      <c r="K79" s="31">
        <f t="shared" si="6"/>
        <v>0</v>
      </c>
      <c r="L79" s="31">
        <f t="shared" si="9"/>
        <v>0</v>
      </c>
      <c r="M79" s="32">
        <f t="shared" si="8"/>
        <v>0</v>
      </c>
      <c r="N79" s="22" t="s">
        <v>167</v>
      </c>
    </row>
    <row r="80" spans="1:14" s="21" customFormat="1" ht="30" customHeight="1" x14ac:dyDescent="0.3">
      <c r="A80" s="62">
        <v>74</v>
      </c>
      <c r="B80" s="39">
        <v>25766</v>
      </c>
      <c r="C80" s="23" t="s">
        <v>13</v>
      </c>
      <c r="D80" s="24" t="s">
        <v>166</v>
      </c>
      <c r="E80" s="23" t="s">
        <v>8</v>
      </c>
      <c r="F80" s="23">
        <v>0</v>
      </c>
      <c r="G80" s="15">
        <v>970</v>
      </c>
      <c r="H80" s="15">
        <v>110</v>
      </c>
      <c r="I80" s="23"/>
      <c r="J80" s="23"/>
      <c r="K80" s="31">
        <f t="shared" si="6"/>
        <v>0</v>
      </c>
      <c r="L80" s="31">
        <f t="shared" si="9"/>
        <v>0</v>
      </c>
      <c r="M80" s="32">
        <f t="shared" si="8"/>
        <v>0</v>
      </c>
      <c r="N80" s="22" t="s">
        <v>167</v>
      </c>
    </row>
    <row r="81" spans="1:14" s="21" customFormat="1" ht="30" customHeight="1" x14ac:dyDescent="0.3">
      <c r="A81" s="62">
        <v>75</v>
      </c>
      <c r="B81" s="39">
        <v>21698</v>
      </c>
      <c r="C81" s="23" t="s">
        <v>18</v>
      </c>
      <c r="D81" s="24" t="s">
        <v>81</v>
      </c>
      <c r="E81" s="23" t="s">
        <v>8</v>
      </c>
      <c r="F81" s="23">
        <v>0</v>
      </c>
      <c r="G81" s="15">
        <v>266</v>
      </c>
      <c r="H81" s="15">
        <v>0</v>
      </c>
      <c r="I81" s="23"/>
      <c r="J81" s="23"/>
      <c r="K81" s="31">
        <f t="shared" si="6"/>
        <v>0</v>
      </c>
      <c r="L81" s="31">
        <f t="shared" si="9"/>
        <v>0</v>
      </c>
      <c r="M81" s="32">
        <f t="shared" si="8"/>
        <v>0</v>
      </c>
      <c r="N81" s="22" t="s">
        <v>167</v>
      </c>
    </row>
    <row r="82" spans="1:14" s="21" customFormat="1" ht="30" customHeight="1" x14ac:dyDescent="0.3">
      <c r="A82" s="62">
        <v>76</v>
      </c>
      <c r="B82" s="39">
        <v>28092</v>
      </c>
      <c r="C82" s="23" t="s">
        <v>13</v>
      </c>
      <c r="D82" s="24"/>
      <c r="E82" s="23" t="s">
        <v>19</v>
      </c>
      <c r="F82" s="23">
        <v>21</v>
      </c>
      <c r="G82" s="15">
        <v>42.39</v>
      </c>
      <c r="H82" s="15">
        <v>9</v>
      </c>
      <c r="I82" s="23"/>
      <c r="J82" s="23"/>
      <c r="K82" s="31">
        <f t="shared" si="6"/>
        <v>8.9018999999999995</v>
      </c>
      <c r="L82" s="31">
        <f t="shared" si="9"/>
        <v>1.5619834710743803</v>
      </c>
      <c r="M82" s="32">
        <f t="shared" si="8"/>
        <v>10.7919</v>
      </c>
      <c r="N82" s="22" t="s">
        <v>167</v>
      </c>
    </row>
    <row r="83" spans="1:14" ht="30" customHeight="1" x14ac:dyDescent="0.3">
      <c r="A83" s="62">
        <v>77</v>
      </c>
      <c r="B83" s="39">
        <v>34610</v>
      </c>
      <c r="C83" s="23" t="s">
        <v>7</v>
      </c>
      <c r="D83" s="24"/>
      <c r="E83" s="23" t="s">
        <v>19</v>
      </c>
      <c r="F83" s="23">
        <v>21</v>
      </c>
      <c r="G83" s="15">
        <v>119</v>
      </c>
      <c r="H83" s="15">
        <v>0</v>
      </c>
      <c r="I83" s="23"/>
      <c r="J83" s="23"/>
      <c r="K83" s="31">
        <f t="shared" si="6"/>
        <v>24.99</v>
      </c>
      <c r="L83" s="31">
        <f t="shared" si="9"/>
        <v>0</v>
      </c>
      <c r="M83" s="32">
        <f t="shared" si="8"/>
        <v>24.99</v>
      </c>
      <c r="N83" s="22" t="s">
        <v>172</v>
      </c>
    </row>
    <row r="84" spans="1:14" ht="30" customHeight="1" x14ac:dyDescent="0.3">
      <c r="A84" s="62">
        <v>78</v>
      </c>
      <c r="B84" s="39">
        <v>35413</v>
      </c>
      <c r="C84" s="23" t="s">
        <v>18</v>
      </c>
      <c r="D84" s="24" t="s">
        <v>173</v>
      </c>
      <c r="E84" s="23" t="s">
        <v>8</v>
      </c>
      <c r="F84" s="23">
        <v>0</v>
      </c>
      <c r="G84" s="15">
        <v>0</v>
      </c>
      <c r="H84" s="15">
        <v>149</v>
      </c>
      <c r="I84" s="23"/>
      <c r="J84" s="23"/>
      <c r="K84" s="31">
        <f t="shared" si="6"/>
        <v>0</v>
      </c>
      <c r="L84" s="31">
        <f t="shared" si="9"/>
        <v>0</v>
      </c>
      <c r="M84" s="32">
        <f t="shared" si="8"/>
        <v>0</v>
      </c>
      <c r="N84" s="22" t="s">
        <v>167</v>
      </c>
    </row>
    <row r="85" spans="1:14" ht="30" customHeight="1" x14ac:dyDescent="0.3">
      <c r="A85" s="62">
        <v>79</v>
      </c>
      <c r="B85" s="39">
        <v>35449</v>
      </c>
      <c r="C85" s="23" t="s">
        <v>18</v>
      </c>
      <c r="D85" s="24" t="s">
        <v>174</v>
      </c>
      <c r="E85" s="23" t="s">
        <v>8</v>
      </c>
      <c r="F85" s="23">
        <v>0</v>
      </c>
      <c r="G85" s="15">
        <v>608</v>
      </c>
      <c r="H85" s="15">
        <v>0</v>
      </c>
      <c r="I85" s="23"/>
      <c r="J85" s="23"/>
      <c r="K85" s="31">
        <f t="shared" ref="K85" si="10">IF($I85=1,G85/(100+$F85)*$F85,G85/100*F85)</f>
        <v>0</v>
      </c>
      <c r="L85" s="31">
        <f t="shared" ref="L85" si="11">IF($J85=1,H85/(100+$F85)*$F85,H85/(100+F85)*F85)</f>
        <v>0</v>
      </c>
      <c r="M85" s="32">
        <f t="shared" ref="M85" si="12">IF(AND(I85&lt;&gt;1,J85&lt;&gt;1),(G85+H85)/100*F85,K85+L85)</f>
        <v>0</v>
      </c>
      <c r="N85" s="22" t="s">
        <v>167</v>
      </c>
    </row>
    <row r="86" spans="1:14" ht="30" customHeight="1" x14ac:dyDescent="0.3">
      <c r="A86" s="62">
        <v>80</v>
      </c>
      <c r="B86" s="39">
        <v>35598</v>
      </c>
      <c r="C86" s="23" t="s">
        <v>18</v>
      </c>
      <c r="D86" s="24" t="s">
        <v>175</v>
      </c>
      <c r="E86" s="23" t="s">
        <v>8</v>
      </c>
      <c r="F86" s="23">
        <v>0</v>
      </c>
      <c r="G86" s="15">
        <v>45.9</v>
      </c>
      <c r="H86" s="15">
        <v>9</v>
      </c>
      <c r="I86" s="23"/>
      <c r="J86" s="23"/>
      <c r="K86" s="31">
        <f t="shared" ref="K86:K87" si="13">IF($I86=1,G86/(100+$F86)*$F86,G86/100*F86)</f>
        <v>0</v>
      </c>
      <c r="L86" s="31">
        <f t="shared" ref="L86:L87" si="14">IF($J86=1,H86/(100+$F86)*$F86,H86/(100+F86)*F86)</f>
        <v>0</v>
      </c>
      <c r="M86" s="32">
        <f t="shared" ref="M86:M87" si="15">IF(AND(I86&lt;&gt;1,J86&lt;&gt;1),(G86+H86)/100*F86,K86+L86)</f>
        <v>0</v>
      </c>
      <c r="N86" s="22" t="s">
        <v>167</v>
      </c>
    </row>
    <row r="87" spans="1:14" ht="30" customHeight="1" x14ac:dyDescent="0.3">
      <c r="A87" s="62">
        <v>81</v>
      </c>
      <c r="B87" s="39">
        <v>36115</v>
      </c>
      <c r="C87" s="23" t="s">
        <v>13</v>
      </c>
      <c r="D87" s="24" t="s">
        <v>176</v>
      </c>
      <c r="E87" s="23" t="s">
        <v>8</v>
      </c>
      <c r="F87" s="23">
        <v>0</v>
      </c>
      <c r="G87" s="15">
        <v>76</v>
      </c>
      <c r="H87" s="15">
        <v>20</v>
      </c>
      <c r="I87" s="23"/>
      <c r="J87" s="23"/>
      <c r="K87" s="31">
        <f t="shared" si="13"/>
        <v>0</v>
      </c>
      <c r="L87" s="31">
        <f t="shared" si="14"/>
        <v>0</v>
      </c>
      <c r="M87" s="32">
        <f t="shared" si="15"/>
        <v>0</v>
      </c>
      <c r="N87" s="22" t="s">
        <v>167</v>
      </c>
    </row>
    <row r="88" spans="1:14" ht="30" customHeight="1" x14ac:dyDescent="0.3">
      <c r="A88" s="62"/>
      <c r="B88" s="39"/>
      <c r="C88" s="23"/>
      <c r="D88" s="24"/>
      <c r="E88" s="23"/>
      <c r="F88" s="23"/>
      <c r="G88" s="15"/>
      <c r="H88" s="15"/>
      <c r="I88" s="23"/>
      <c r="J88" s="23"/>
      <c r="K88" s="31"/>
      <c r="L88" s="31"/>
      <c r="M88" s="32"/>
      <c r="N88" s="22"/>
    </row>
    <row r="89" spans="1:14" ht="30" customHeight="1" x14ac:dyDescent="0.3">
      <c r="A89" s="62"/>
      <c r="B89" s="39"/>
      <c r="C89" s="23"/>
      <c r="D89" s="24"/>
      <c r="E89" s="23"/>
      <c r="F89" s="23"/>
      <c r="G89" s="15"/>
      <c r="H89" s="15"/>
      <c r="I89" s="23"/>
      <c r="J89" s="23"/>
      <c r="K89" s="31"/>
      <c r="L89" s="31"/>
      <c r="M89" s="32"/>
      <c r="N89" s="22"/>
    </row>
    <row r="90" spans="1:14" ht="30" customHeight="1" x14ac:dyDescent="0.3">
      <c r="A90" s="62"/>
      <c r="B90" s="39"/>
      <c r="C90" s="23"/>
      <c r="D90" s="24"/>
      <c r="E90" s="23"/>
      <c r="F90" s="23"/>
      <c r="G90" s="15"/>
      <c r="H90" s="15"/>
      <c r="I90" s="23"/>
      <c r="J90" s="23"/>
      <c r="K90" s="31"/>
      <c r="L90" s="31"/>
      <c r="M90" s="32"/>
      <c r="N90" s="22"/>
    </row>
    <row r="91" spans="1:14" ht="30" customHeight="1" x14ac:dyDescent="0.3">
      <c r="A91" s="62"/>
      <c r="B91" s="39"/>
      <c r="C91" s="23"/>
      <c r="D91" s="24"/>
      <c r="E91" s="23"/>
      <c r="F91" s="23"/>
      <c r="G91" s="15"/>
      <c r="H91" s="15"/>
      <c r="I91" s="23"/>
      <c r="J91" s="23"/>
      <c r="K91" s="31"/>
      <c r="L91" s="31"/>
      <c r="M91" s="32"/>
      <c r="N91" s="22"/>
    </row>
    <row r="92" spans="1:14" ht="30" customHeight="1" x14ac:dyDescent="0.3">
      <c r="A92" s="62"/>
      <c r="B92" s="39"/>
      <c r="C92" s="23"/>
      <c r="D92" s="24"/>
      <c r="E92" s="23"/>
      <c r="F92" s="23"/>
      <c r="G92" s="15"/>
      <c r="H92" s="15"/>
      <c r="I92" s="23"/>
      <c r="J92" s="23"/>
      <c r="K92" s="31"/>
      <c r="L92" s="31"/>
      <c r="M92" s="32"/>
      <c r="N92" s="22"/>
    </row>
    <row r="93" spans="1:14" ht="30" customHeight="1" x14ac:dyDescent="0.3">
      <c r="A93" s="62"/>
      <c r="B93" s="39"/>
      <c r="C93" s="23"/>
      <c r="D93" s="24"/>
      <c r="E93" s="23"/>
      <c r="F93" s="23"/>
      <c r="G93" s="15"/>
      <c r="H93" s="15"/>
      <c r="I93" s="23"/>
      <c r="J93" s="23"/>
      <c r="K93" s="31"/>
      <c r="L93" s="31"/>
      <c r="M93" s="32"/>
      <c r="N93" s="22"/>
    </row>
    <row r="94" spans="1:14" ht="30" customHeight="1" x14ac:dyDescent="0.3">
      <c r="A94" s="62"/>
      <c r="B94" s="39"/>
      <c r="C94" s="23"/>
      <c r="D94" s="24"/>
      <c r="E94" s="23"/>
      <c r="F94" s="23"/>
      <c r="G94" s="15"/>
      <c r="H94" s="15"/>
      <c r="I94" s="23"/>
      <c r="J94" s="23"/>
      <c r="K94" s="31"/>
      <c r="L94" s="31"/>
      <c r="M94" s="32"/>
      <c r="N94" s="22"/>
    </row>
    <row r="95" spans="1:14" ht="30" customHeight="1" x14ac:dyDescent="0.3">
      <c r="A95" s="62"/>
      <c r="B95" s="39"/>
      <c r="C95" s="23"/>
      <c r="D95" s="24"/>
      <c r="E95" s="23"/>
      <c r="F95" s="23"/>
      <c r="G95" s="15"/>
      <c r="H95" s="15"/>
      <c r="I95" s="23"/>
      <c r="J95" s="23"/>
      <c r="K95" s="31"/>
      <c r="L95" s="31"/>
      <c r="M95" s="32"/>
      <c r="N95" s="22"/>
    </row>
  </sheetData>
  <autoFilter ref="A1:N83" xr:uid="{955C9B63-CB46-46AE-AD85-0E6199C108F9}"/>
  <sortState xmlns:xlrd2="http://schemas.microsoft.com/office/spreadsheetml/2017/richdata2" ref="A3:M66">
    <sortCondition ref="A3:A66"/>
    <sortCondition ref="B3:B66"/>
  </sortState>
  <phoneticPr fontId="8"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22B94-E20B-4984-BCA4-69E7D0007640}">
  <sheetPr codeName="Sayfa3"/>
  <dimension ref="A1:G10"/>
  <sheetViews>
    <sheetView zoomScale="85" zoomScaleNormal="85" workbookViewId="0">
      <selection activeCell="B9" sqref="B9:B19"/>
    </sheetView>
  </sheetViews>
  <sheetFormatPr defaultRowHeight="14.4" x14ac:dyDescent="0.3"/>
  <cols>
    <col min="1" max="1" width="30.109375" style="1" customWidth="1"/>
    <col min="2" max="2" width="95.109375" style="1" customWidth="1"/>
    <col min="3" max="5" width="27.33203125" style="1" customWidth="1"/>
    <col min="6" max="6" width="27.33203125" style="2" customWidth="1"/>
  </cols>
  <sheetData>
    <row r="1" spans="1:7" x14ac:dyDescent="0.3">
      <c r="A1" s="27"/>
      <c r="B1" s="27"/>
      <c r="C1" s="27" t="s">
        <v>72</v>
      </c>
      <c r="D1" s="27" t="s">
        <v>60</v>
      </c>
      <c r="E1" s="27" t="s">
        <v>70</v>
      </c>
      <c r="F1" s="27" t="s">
        <v>71</v>
      </c>
    </row>
    <row r="2" spans="1:7" x14ac:dyDescent="0.3">
      <c r="A2" s="27" t="s">
        <v>58</v>
      </c>
      <c r="B2" s="27"/>
      <c r="C2" s="27" t="s">
        <v>59</v>
      </c>
      <c r="D2" s="27" t="s">
        <v>59</v>
      </c>
      <c r="E2" s="27" t="s">
        <v>59</v>
      </c>
      <c r="F2" s="27" t="s">
        <v>59</v>
      </c>
    </row>
    <row r="3" spans="1:7" x14ac:dyDescent="0.3">
      <c r="A3" s="27" t="s">
        <v>55</v>
      </c>
      <c r="B3" s="27" t="str">
        <f>"SELECT *  FROM `wp_c9296efc0a_postmeta` WHERE `post_id`&lt; 24575 AND `meta_key` LIKE '" &amp; A3 &amp;"'"</f>
        <v>SELECT *  FROM `wp_c9296efc0a_postmeta` WHERE `post_id`&lt; 24575 AND `meta_key` LIKE 'is_vat_exempt'</v>
      </c>
      <c r="C3" s="1" t="s">
        <v>61</v>
      </c>
      <c r="D3" s="1" t="s">
        <v>64</v>
      </c>
      <c r="E3" s="1" t="s">
        <v>64</v>
      </c>
      <c r="F3" s="2" t="s">
        <v>64</v>
      </c>
    </row>
    <row r="4" spans="1:7" ht="72" x14ac:dyDescent="0.3">
      <c r="A4" s="27" t="s">
        <v>51</v>
      </c>
      <c r="B4" s="27" t="str">
        <f>"SELECT *  FROM `wp_c9296efc0a_postmeta` WHERE `post_id`&lt; 24575 AND `meta_key` LIKE '" &amp; A4 &amp;"'"</f>
        <v>SELECT *  FROM `wp_c9296efc0a_postmeta` WHERE `post_id`&lt; 24575 AND `meta_key` LIKE 'vat_compliance_country_info'</v>
      </c>
      <c r="C4" s="28" t="s">
        <v>62</v>
      </c>
      <c r="D4" s="1" t="s">
        <v>65</v>
      </c>
      <c r="E4" s="28" t="s">
        <v>79</v>
      </c>
      <c r="F4" s="1" t="s">
        <v>73</v>
      </c>
    </row>
    <row r="5" spans="1:7" x14ac:dyDescent="0.3">
      <c r="A5" s="27" t="s">
        <v>2</v>
      </c>
      <c r="B5" s="27" t="str">
        <f t="shared" ref="B5:B10" si="0">"SELECT *  FROM `wp_c9296efc0a_postmeta` WHERE `post_id`&lt; 24575 AND `meta_key` LIKE '" &amp; A5 &amp;"'"</f>
        <v>SELECT *  FROM `wp_c9296efc0a_postmeta` WHERE `post_id`&lt; 24575 AND `meta_key` LIKE 'VAT Number'</v>
      </c>
      <c r="C5" s="1" t="s">
        <v>63</v>
      </c>
      <c r="D5" s="1" t="s">
        <v>66</v>
      </c>
      <c r="E5" s="28" t="s">
        <v>69</v>
      </c>
      <c r="F5" s="28" t="s">
        <v>69</v>
      </c>
    </row>
    <row r="6" spans="1:7" ht="28.8" x14ac:dyDescent="0.3">
      <c r="A6" s="27" t="s">
        <v>3</v>
      </c>
      <c r="B6" s="27" t="str">
        <f t="shared" si="0"/>
        <v>SELECT *  FROM `wp_c9296efc0a_postmeta` WHERE `post_id`&lt; 24575 AND `meta_key` LIKE 'Valid VAT Number'</v>
      </c>
      <c r="C6" s="28" t="s">
        <v>8</v>
      </c>
      <c r="D6" s="28" t="s">
        <v>8</v>
      </c>
      <c r="E6" s="28" t="s">
        <v>69</v>
      </c>
      <c r="F6" s="28" t="s">
        <v>69</v>
      </c>
    </row>
    <row r="7" spans="1:7" x14ac:dyDescent="0.3">
      <c r="A7" s="27" t="s">
        <v>56</v>
      </c>
      <c r="B7" s="27" t="str">
        <f t="shared" si="0"/>
        <v>SELECT *  FROM `wp_c9296efc0a_postmeta` WHERE `post_id`&lt; 24575 AND `meta_key` LIKE 'VIES Response'</v>
      </c>
      <c r="C7" s="28" t="s">
        <v>68</v>
      </c>
      <c r="D7" s="28" t="s">
        <v>68</v>
      </c>
      <c r="E7" s="28" t="s">
        <v>69</v>
      </c>
      <c r="F7" s="28" t="s">
        <v>69</v>
      </c>
    </row>
    <row r="8" spans="1:7" ht="28.8" x14ac:dyDescent="0.3">
      <c r="A8" s="27" t="s">
        <v>57</v>
      </c>
      <c r="B8" s="27" t="str">
        <f t="shared" si="0"/>
        <v>SELECT *  FROM `wp_c9296efc0a_postmeta` WHERE `post_id`&lt; 24575 AND `meta_key` LIKE 'VAT number validated'</v>
      </c>
      <c r="C8" s="28" t="s">
        <v>8</v>
      </c>
      <c r="D8" s="28" t="s">
        <v>8</v>
      </c>
      <c r="E8" s="28" t="s">
        <v>69</v>
      </c>
      <c r="F8" s="28" t="s">
        <v>69</v>
      </c>
    </row>
    <row r="9" spans="1:7" ht="288" x14ac:dyDescent="0.3">
      <c r="A9" s="27" t="s">
        <v>52</v>
      </c>
      <c r="B9" s="27" t="str">
        <f t="shared" si="0"/>
        <v>SELECT *  FROM `wp_c9296efc0a_postmeta` WHERE `post_id`&lt; 24575 AND `meta_key` LIKE 'vat_compliance_vat_paid'</v>
      </c>
      <c r="C9" s="1" t="s">
        <v>49</v>
      </c>
      <c r="D9" s="1" t="s">
        <v>67</v>
      </c>
      <c r="E9" s="1" t="s">
        <v>80</v>
      </c>
      <c r="F9" s="1" t="s">
        <v>74</v>
      </c>
    </row>
    <row r="10" spans="1:7" ht="43.2" x14ac:dyDescent="0.3">
      <c r="A10" s="27" t="s">
        <v>53</v>
      </c>
      <c r="B10" s="27" t="str">
        <f t="shared" si="0"/>
        <v>SELECT *  FROM `wp_c9296efc0a_postmeta` WHERE `post_id`&lt; 24575 AND `meta_key` LIKE 'wceuvat_conversion_rates'</v>
      </c>
      <c r="C10" s="1" t="s">
        <v>54</v>
      </c>
      <c r="D10" s="1" t="s">
        <v>54</v>
      </c>
      <c r="E10" s="1" t="s">
        <v>54</v>
      </c>
      <c r="F10" s="1" t="s">
        <v>54</v>
      </c>
      <c r="G10" t="b">
        <f>C10=D10</f>
        <v>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CFA94-8BB2-42AD-8622-D1D7D3EC55AA}">
  <sheetPr codeName="Sayfa4"/>
  <dimension ref="A1:A6"/>
  <sheetViews>
    <sheetView workbookViewId="0">
      <selection activeCell="B9" sqref="B9:B19"/>
    </sheetView>
  </sheetViews>
  <sheetFormatPr defaultRowHeight="14.4" x14ac:dyDescent="0.3"/>
  <sheetData>
    <row r="1" spans="1:1" x14ac:dyDescent="0.3">
      <c r="A1" t="s">
        <v>10</v>
      </c>
    </row>
    <row r="2" spans="1:1" x14ac:dyDescent="0.3">
      <c r="A2" t="s">
        <v>14</v>
      </c>
    </row>
    <row r="3" spans="1:1" x14ac:dyDescent="0.3">
      <c r="A3" t="s">
        <v>11</v>
      </c>
    </row>
    <row r="4" spans="1:1" x14ac:dyDescent="0.3">
      <c r="A4" t="s">
        <v>15</v>
      </c>
    </row>
    <row r="5" spans="1:1" x14ac:dyDescent="0.3">
      <c r="A5" t="s">
        <v>12</v>
      </c>
    </row>
    <row r="6" spans="1:1" x14ac:dyDescent="0.3">
      <c r="A6"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Requests</vt:lpstr>
      <vt:lpstr>SG</vt:lpstr>
      <vt:lpstr>List</vt:lpstr>
      <vt:lpstr>Comparation</vt:lpstr>
      <vt:lpstr>WorkingSample</vt:lpstr>
      <vt:lpstr>const_country_code</vt:lpstr>
      <vt:lpstr>const_isVatNumberValid</vt:lpstr>
      <vt:lpstr>const_post_id</vt:lpstr>
      <vt:lpstr>const_shippingVat</vt:lpstr>
      <vt:lpstr>const_subTotalVat</vt:lpstr>
      <vt:lpstr>const_totalVat</vt:lpstr>
      <vt:lpstr>const_VAT_Numeric</vt:lpstr>
      <vt:lpstr>const_vatRate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Mehmet Durmaz</dc:creator>
  <cp:lastModifiedBy>Mehmet DURMAZ</cp:lastModifiedBy>
  <dcterms:created xsi:type="dcterms:W3CDTF">2021-06-29T14:55:19Z</dcterms:created>
  <dcterms:modified xsi:type="dcterms:W3CDTF">2021-11-30T12:32:01Z</dcterms:modified>
</cp:coreProperties>
</file>