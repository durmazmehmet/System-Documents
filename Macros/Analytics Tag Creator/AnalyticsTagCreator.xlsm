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Team\System Documents\Macros\Analytics Tag Creator\"/>
    </mc:Choice>
  </mc:AlternateContent>
  <xr:revisionPtr revIDLastSave="0" documentId="13_ncr:1_{D8C704B4-66C5-464D-8E3D-39C785C5186C}" xr6:coauthVersionLast="47" xr6:coauthVersionMax="47" xr10:uidLastSave="{00000000-0000-0000-0000-000000000000}"/>
  <bookViews>
    <workbookView xWindow="-108" yWindow="-108" windowWidth="23256" windowHeight="12456" tabRatio="813" xr2:uid="{1DCDBA04-416E-42A1-AF8C-911FA2D9691D}"/>
  </bookViews>
  <sheets>
    <sheet name="List" sheetId="1" r:id="rId1"/>
    <sheet name="Produce" sheetId="17" r:id="rId2"/>
  </sheets>
  <functionGroups builtInGroupCount="19"/>
  <definedNames>
    <definedName name="Code_ADSENSE">Produce!$B$8</definedName>
    <definedName name="Code_ADWORDS">Produce!$B$7</definedName>
    <definedName name="Code_GA4">Produce!$B$4</definedName>
    <definedName name="Code_GTM">Produce!$B$5</definedName>
    <definedName name="Code_OPT">Produce!$B$6</definedName>
    <definedName name="Code_PIXEL">Produce!$B$9</definedName>
    <definedName name="Code_UA">Produce!$B$3</definedName>
    <definedName name="part_body">Produce!$E$2</definedName>
    <definedName name="part_head">Produce!$D$2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8" i="17"/>
  <c r="B7" i="17"/>
  <c r="B9" i="17"/>
  <c r="B6" i="17"/>
  <c r="B5" i="17"/>
  <c r="B4" i="17"/>
  <c r="B3" i="17"/>
</calcChain>
</file>

<file path=xl/sharedStrings.xml><?xml version="1.0" encoding="utf-8"?>
<sst xmlns="http://schemas.openxmlformats.org/spreadsheetml/2006/main" count="294" uniqueCount="130">
  <si>
    <t>Sn</t>
  </si>
  <si>
    <t>Website</t>
  </si>
  <si>
    <t>Google Analytics</t>
  </si>
  <si>
    <t>Google Tag Manager</t>
  </si>
  <si>
    <t>UA-184035548-1</t>
  </si>
  <si>
    <t>UA-201210775-1</t>
  </si>
  <si>
    <t>krautz.org</t>
  </si>
  <si>
    <t>hotcoldshop.com</t>
  </si>
  <si>
    <t>lavandi.world</t>
  </si>
  <si>
    <t>UA-164620260-1</t>
  </si>
  <si>
    <t>UA-207435728-1</t>
  </si>
  <si>
    <t>UA-206771996-1</t>
  </si>
  <si>
    <t>UA-183118934-1</t>
  </si>
  <si>
    <t>maxteddy.eu</t>
  </si>
  <si>
    <t>nitatrans.com</t>
  </si>
  <si>
    <t>UA-207178923-1</t>
  </si>
  <si>
    <t>stingray.world</t>
  </si>
  <si>
    <t>temax-xps.com</t>
  </si>
  <si>
    <t>UA-207388729-1</t>
  </si>
  <si>
    <t>themax.world</t>
  </si>
  <si>
    <t>UA-162396386-1</t>
  </si>
  <si>
    <t>vivit.bio</t>
  </si>
  <si>
    <t>vivit.bio/bhs</t>
  </si>
  <si>
    <t>UA-206769087-1</t>
  </si>
  <si>
    <t>UA-206769087-2</t>
  </si>
  <si>
    <t>UA-207156467-1</t>
  </si>
  <si>
    <t>temax.us</t>
  </si>
  <si>
    <t>churchills</t>
  </si>
  <si>
    <t>centraalmagazijn</t>
  </si>
  <si>
    <t>blutrade</t>
  </si>
  <si>
    <t>GTM-W4D3LTV</t>
  </si>
  <si>
    <t>GTM-58ZG3F3</t>
  </si>
  <si>
    <t>GTM-T9CQLL4</t>
  </si>
  <si>
    <t>Verified</t>
  </si>
  <si>
    <t>G-ZJF5G3XJEZ</t>
  </si>
  <si>
    <t>G-BNMDFZDXHR</t>
  </si>
  <si>
    <t>G-DSWZ31RFKB</t>
  </si>
  <si>
    <t>G-FXSZH50YHJ</t>
  </si>
  <si>
    <t>G-N6QHBBQ3FS</t>
  </si>
  <si>
    <t>G-WQ1QMPMKG2</t>
  </si>
  <si>
    <t>G-GDWNJWXRZW</t>
  </si>
  <si>
    <t>G-111E56FZ3N</t>
  </si>
  <si>
    <t>G-JR9F2NT8NN</t>
  </si>
  <si>
    <t>Google Search Console Entry</t>
  </si>
  <si>
    <t>Bing Console Entry</t>
  </si>
  <si>
    <t>Yandex Entry</t>
  </si>
  <si>
    <t>SİTE AKTİF DEĞİL ANCAK KAYDI ALINIP HAZIR TUTULACAK</t>
  </si>
  <si>
    <t>officebull.org</t>
  </si>
  <si>
    <t>divina.world</t>
  </si>
  <si>
    <t>legym.world</t>
  </si>
  <si>
    <t>leclub.world</t>
  </si>
  <si>
    <t>minedepo</t>
  </si>
  <si>
    <t>DOMAIN YOK</t>
  </si>
  <si>
    <t>G-58HRLWQR45</t>
  </si>
  <si>
    <t>GTM-K9S3FGH</t>
  </si>
  <si>
    <t>G-CKCQCL25X2</t>
  </si>
  <si>
    <t>GTM-TZ7F86F</t>
  </si>
  <si>
    <t>GTM-TPQC5JC</t>
  </si>
  <si>
    <t>GTM-NRXGC33</t>
  </si>
  <si>
    <t>G-3J49W8L81Y</t>
  </si>
  <si>
    <t>GTM-KSLGNQM</t>
  </si>
  <si>
    <t>G-QXQLZ9SRR4</t>
  </si>
  <si>
    <t>GTM-NSVMN3V</t>
  </si>
  <si>
    <t>GTM-KKDMVRJ</t>
  </si>
  <si>
    <t>G-4KJ31166BG</t>
  </si>
  <si>
    <t>GTM-PTTZC7C</t>
  </si>
  <si>
    <t>GTM-M2MC9ZK</t>
  </si>
  <si>
    <t>GTM-KXBTLTH</t>
  </si>
  <si>
    <t>UA-213787189-1</t>
  </si>
  <si>
    <t>UA-213737446-1</t>
  </si>
  <si>
    <t>GTM-5ZBHK9X</t>
  </si>
  <si>
    <t>DNS BAĞLI DEĞİL</t>
  </si>
  <si>
    <t>themax.media</t>
  </si>
  <si>
    <t>Mevcut Durum</t>
  </si>
  <si>
    <t>GEREK YOKTU</t>
  </si>
  <si>
    <t>15.11.2020 tarihinden beri Analytics akışı mevcut</t>
  </si>
  <si>
    <t>27.06.2021 - 18.09.2021 arası dışında Analytics akışı bulunamadı.</t>
  </si>
  <si>
    <t>05.09.2021 tarihinden beri GA4 üzerinden  Analytics akışı mevcut.</t>
  </si>
  <si>
    <t>21.11.2020 tarihinden beri GA4 üzerinden Analytics akışı mevcut.</t>
  </si>
  <si>
    <t xml:space="preserve">02.10.2021 tarihinden beri GA4 üzerinden  Analytics akışı mevcut. </t>
  </si>
  <si>
    <t>02.10.2021 tarihinden beri GA4 üzerinden Analytics akışı mevcut.</t>
  </si>
  <si>
    <t>22.03.2020 tarihinden beri Analytics akışı mevcut.</t>
  </si>
  <si>
    <t xml:space="preserve">01.10.2021 tarihinden beri Analytics akışı mevcut. </t>
  </si>
  <si>
    <t>Hiçbir kaydı yoktu</t>
  </si>
  <si>
    <t>Analytics öğeleri oluşturuldu. Search konsol girdileri eklendi.</t>
  </si>
  <si>
    <t>HEAD PART</t>
  </si>
  <si>
    <t>BODY PART</t>
  </si>
  <si>
    <t>İyileştirmeler
UA= Universal Analytics, GA4= Analytics ver4, TAG= Google Tag Manager,OPT= GoogleOPTimize senaryo kurma altyapısı</t>
  </si>
  <si>
    <t>OPT-PRFVK9Z</t>
  </si>
  <si>
    <t>Search konsol girdileri ile Cookie Notice altında UA, TAG veOPTimizer scriptleri  eklendi.
30.11.2021 tarihi itibari Analytics ayarlandı akış devam ediyor.</t>
  </si>
  <si>
    <t>Search konsol girdileri eklendi. Cookie Notice altında UA, TAG veOPTimizer scriptleri  eklendi.
30.11.2021 tarihi itibari Analytics ayarlandı akış devam ediyor.</t>
  </si>
  <si>
    <t>OPT-5MGP46R</t>
  </si>
  <si>
    <t>Search konsol girdileri eklendi. Cookie Notice altında TAG veOPTimizer scriptleri  eklendi.
30.11.2021 tarihi itibari ayarlandı UA üzerinden de akış devam ediyor.</t>
  </si>
  <si>
    <t>OPT-M7R72T8</t>
  </si>
  <si>
    <t xml:space="preserve"> Search konsol girdileri eklendi. TAG veOPTimizer scriptleri  eklendi.
30.11.2021 tarihi itibari ayarlandı UA üzerinden de akış devam ediyor.</t>
  </si>
  <si>
    <t>OPT-KVM2DRQ</t>
  </si>
  <si>
    <t xml:space="preserve"> Search konsol girdileri eklendi. Cookie Notice altında TAG veOPTimizer scriptleri  eklendi.
30.11.2021 tarihi itibari ayarlandı UA üzerinden de akış devam ediyor.</t>
  </si>
  <si>
    <t>OPT-59T6V8R</t>
  </si>
  <si>
    <t>OPT-M5T93N3</t>
  </si>
  <si>
    <t>Search konsol girdileri eklendi.
Cookie Notice altında GA4, TAG veOPTimizer scriptleri  eklendi.</t>
  </si>
  <si>
    <t>OPT-WTVNZZP</t>
  </si>
  <si>
    <t>OPT-NKK9WFX</t>
  </si>
  <si>
    <t>OPT-W659L93</t>
  </si>
  <si>
    <t>Search konsol girdileri eklendi. Analytics öğeleri oluşturuldu.
Cookie Notice altında GA4, TAG veOPTimizer scriptleri eklendi.</t>
  </si>
  <si>
    <t>OPT-5SN5QZF</t>
  </si>
  <si>
    <t>Search konsol girdileri eklendi. Analytics öğeleri oluşturuldu.
Cookie Notice altında GA4, TAG veOPTimizer scriptleri eklendi.
30.11.2021 tarihi itibari Analytics ayarlandı akış başladı.</t>
  </si>
  <si>
    <t>OPT-TSDMP8D</t>
  </si>
  <si>
    <t>OPT-W4D2Q2G</t>
  </si>
  <si>
    <t>Faceook Pixel</t>
  </si>
  <si>
    <t>192618959628603</t>
  </si>
  <si>
    <t>Google GA4 Measurement ID</t>
  </si>
  <si>
    <t>Google Optimizer</t>
  </si>
  <si>
    <t>Google Ads</t>
  </si>
  <si>
    <t>Google AdSense</t>
  </si>
  <si>
    <t>0</t>
  </si>
  <si>
    <t>Google AdWords</t>
  </si>
  <si>
    <t>GoogleGA4MeasurementID</t>
  </si>
  <si>
    <t>GoogleTagManager</t>
  </si>
  <si>
    <t>GoogleOptimizer</t>
  </si>
  <si>
    <t>OPT-W5JQ8P4</t>
  </si>
  <si>
    <t>OPT-KBPPKJD</t>
  </si>
  <si>
    <t>lavandicoffee.com</t>
  </si>
  <si>
    <t>UA-217438231-1</t>
  </si>
  <si>
    <t>G-VJJF0F6K1F</t>
  </si>
  <si>
    <t>GTM-B8G2TDM</t>
  </si>
  <si>
    <t>OPT-NX35483</t>
  </si>
  <si>
    <t xml:space="preserve">18.01.2022 tarihinden beri Analytics akışı mevcut. </t>
  </si>
  <si>
    <t>TÜM İŞLEMLERİ HALLEDİLDİ</t>
  </si>
  <si>
    <t xml:space="preserve">&lt;!-- Global site tag (gtag.js) - Google Analytics --&gt;_x000D_
&lt;script async src="https://www.googletagmanager.com/gtag/js?id=UA-217438231-1"&gt;&lt;/script&gt;_x000D_
&lt;script&gt;_x000D_
window.dataLayer = window.dataLayer || [];_x000D_
function gtag(){dataLayer.push(arguments);}_x000D_
gtag('js', new Date());_x000D_
gtag('config', 'UA-217438231-1', {'optimize_id':'OPT-NX35483','anonymize_ip':true});_x000D_
gtag('config', 'G-VJJF0F6K1F');_x000D_
&lt;/script&gt;_x000D_
&lt;!-- Google Tag Manager --&gt;_x000D_
&lt;script&gt;(function(w,d,s,l,i){w[l]=w[l]||[];w[l].push({'gtm.start':_x000D_
new Date().getTime(),event:'gtm.js'});var f=d.getElementsByTagName(s)[0],_x000D_
j=d.createElement(s),dl=l!='dataLayer'?'&amp;l='+l:'';j.async=true;j.src=_x000D_
'https://www.googletagmanager.com/gtm.js?id='+i+dl;f.parentNode.insertBefore(j,f);_x000D_
})(window,document,'script','dataLayer','GTM-B8G2TDM');&lt;/script&gt;_x000D_
&lt;!-- End Google Tag Manager --&gt;_x000D_
_x000D_
</t>
  </si>
  <si>
    <t>&lt;!-- Google Tag Manager (noscript) --&gt;_x000D_
&lt;noscript&gt;&lt;iframe src="https://www.googletagmanager.com/ns.html?id=GTM-B8G2TDM" height="0" width="0" style="display:none;visibility:hidden"&gt;&lt;/iframe&gt;&lt;/noscript&gt;_x000D_
&lt;!-- End Google Tag Manager (noscript)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</si>
</sst>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Times New Roman"/>
      <family val="1"/>
      <charset val="162"/>
    </font>
    <font>
      <sz val="11"/>
      <color theme="1"/>
      <name val="Times New Roman"/>
      <family val="1"/>
      <charset val="162"/>
    </font>
    <font>
      <sz val="11"/>
      <color rgb="FFFF0000"/>
      <name val="Times New Roman"/>
      <family val="1"/>
      <charset val="162"/>
    </font>
    <font>
      <sz val="11"/>
      <color theme="0"/>
      <name val="Times New Roman"/>
      <family val="1"/>
      <charset val="162"/>
    </font>
    <font>
      <b/>
      <sz val="36"/>
      <color theme="1"/>
      <name val="Times New Roman"/>
      <family val="1"/>
      <charset val="162"/>
    </font>
    <font>
      <b/>
      <sz val="72"/>
      <color theme="1"/>
      <name val="Times New Roman"/>
      <family val="1"/>
      <charset val="162"/>
    </font>
    <font>
      <sz val="8"/>
      <color theme="1"/>
      <name val="Calibri"/>
      <family val="2"/>
      <charset val="162"/>
      <scheme val="minor"/>
    </font>
    <font>
      <u/>
      <sz val="11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vertical="center" wrapText="1"/>
    </xf>
    <xf numFmtId="0" fontId="2" fillId="0" borderId="0" xfId="0" applyFont="1"/>
    <xf numFmtId="0" fontId="2" fillId="0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top" wrapText="1"/>
    </xf>
    <xf numFmtId="0" fontId="2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2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7" fillId="0" borderId="0" xfId="0" applyFont="1" applyAlignment="1">
      <alignment vertical="top"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3131820</xdr:colOff>
      <xdr:row>0</xdr:row>
      <xdr:rowOff>38100</xdr:rowOff>
    </xdr:from>
    <xdr:to>
      <xdr:col>3</xdr:col>
      <xdr:colOff>4008120</xdr:colOff>
      <xdr:row>0</xdr:row>
      <xdr:rowOff>762000</xdr:rowOff>
    </xdr:to>
    <xdr:sp macro="[0]!copy_head_Click" textlink="">
      <xdr:nvSpPr>
        <xdr:cNvPr id="2" name="copy_head">
          <a:extLst>
            <a:ext uri="{FF2B5EF4-FFF2-40B4-BE49-F238E27FC236}">
              <a16:creationId xmlns:a16="http://schemas.microsoft.com/office/drawing/2014/main" id="{A6FE9509-12C7-45B5-9733-5DC543EB29D3}"/>
            </a:ext>
          </a:extLst>
        </xdr:cNvPr>
        <xdr:cNvSpPr/>
      </xdr:nvSpPr>
      <xdr:spPr>
        <a:xfrm>
          <a:off x="6606540" y="38100"/>
          <a:ext cx="876300" cy="723900"/>
        </a:xfrm>
        <a:prstGeom prst="roundRect">
          <a:avLst>
            <a:gd name="adj" fmla="val 2109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COPY</a:t>
          </a:r>
        </a:p>
        <a:p>
          <a:pPr algn="ctr"/>
          <a:r>
            <a:rPr lang="tr-TR" sz="1600" b="1"/>
            <a:t>HEAD</a:t>
          </a:r>
        </a:p>
      </xdr:txBody>
    </xdr:sp>
    <xdr:clientData/>
  </xdr:twoCellAnchor>
  <xdr:twoCellAnchor>
    <xdr:from>
      <xdr:col>4</xdr:col>
      <xdr:colOff>2811780</xdr:colOff>
      <xdr:row>0</xdr:row>
      <xdr:rowOff>38100</xdr:rowOff>
    </xdr:from>
    <xdr:to>
      <xdr:col>4</xdr:col>
      <xdr:colOff>3688080</xdr:colOff>
      <xdr:row>0</xdr:row>
      <xdr:rowOff>762000</xdr:rowOff>
    </xdr:to>
    <xdr:sp macro="[0]!copy_body_Click" textlink="">
      <xdr:nvSpPr>
        <xdr:cNvPr id="3" name="copy_body">
          <a:extLst>
            <a:ext uri="{FF2B5EF4-FFF2-40B4-BE49-F238E27FC236}">
              <a16:creationId xmlns:a16="http://schemas.microsoft.com/office/drawing/2014/main" id="{6DFDFF50-C27B-4E7F-B099-4B228749576F}"/>
            </a:ext>
          </a:extLst>
        </xdr:cNvPr>
        <xdr:cNvSpPr/>
      </xdr:nvSpPr>
      <xdr:spPr>
        <a:xfrm>
          <a:off x="10340340" y="38100"/>
          <a:ext cx="876300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COPY</a:t>
          </a:r>
        </a:p>
        <a:p>
          <a:pPr algn="ctr"/>
          <a:r>
            <a:rPr lang="tr-TR" sz="1600" b="1"/>
            <a:t>BODY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682C-1712-4BB2-9D51-EB1B0589144A}">
  <sheetPr codeName="Sheet1"/>
  <dimension ref="A1:Y22"/>
  <sheetViews>
    <sheetView tabSelected="1" zoomScale="85" zoomScaleNormal="85" workbookViewId="0">
      <selection activeCell="D2" sqref="D2"/>
    </sheetView>
  </sheetViews>
  <sheetFormatPr defaultColWidth="9.109375" defaultRowHeight="51" customHeight="1" x14ac:dyDescent="0.25"/>
  <cols>
    <col min="1" max="1" width="3.33203125" style="4" customWidth="1"/>
    <col min="2" max="2" width="14.77734375" style="4" bestFit="1" customWidth="1"/>
    <col min="3" max="6" width="15.88671875" style="8" customWidth="1"/>
    <col min="7" max="7" width="11.21875" style="30" customWidth="1"/>
    <col min="8" max="8" width="13.44140625" style="30" customWidth="1"/>
    <col min="9" max="9" width="16.6640625" style="30" bestFit="1" customWidth="1"/>
    <col min="10" max="12" width="14.21875" style="8" customWidth="1"/>
    <col min="13" max="13" width="30.109375" style="8" customWidth="1"/>
    <col min="14" max="14" width="61.109375" style="8" customWidth="1"/>
    <col min="15" max="25" width="9.109375" style="11"/>
    <col min="26" max="16384" width="9.109375" style="5"/>
  </cols>
  <sheetData>
    <row r="1" spans="1:25" s="2" customFormat="1" ht="51" customHeight="1" x14ac:dyDescent="0.25">
      <c r="A1" s="1" t="s">
        <v>0</v>
      </c>
      <c r="B1" s="1" t="s">
        <v>1</v>
      </c>
      <c r="C1" s="7" t="s">
        <v>2</v>
      </c>
      <c r="D1" s="7" t="s">
        <v>116</v>
      </c>
      <c r="E1" s="7" t="s">
        <v>117</v>
      </c>
      <c r="F1" s="7" t="s">
        <v>118</v>
      </c>
      <c r="G1" s="28" t="s">
        <v>112</v>
      </c>
      <c r="H1" s="28" t="s">
        <v>113</v>
      </c>
      <c r="I1" s="28" t="s">
        <v>108</v>
      </c>
      <c r="J1" s="7" t="s">
        <v>43</v>
      </c>
      <c r="K1" s="7" t="s">
        <v>44</v>
      </c>
      <c r="L1" s="7" t="s">
        <v>45</v>
      </c>
      <c r="M1" s="7" t="s">
        <v>73</v>
      </c>
      <c r="N1" s="7" t="s">
        <v>87</v>
      </c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</row>
    <row r="2" spans="1:25" s="3" customFormat="1" ht="51" customHeight="1" x14ac:dyDescent="0.25">
      <c r="A2" s="10">
        <v>1</v>
      </c>
      <c r="B2" s="6" t="s">
        <v>7</v>
      </c>
      <c r="C2" s="9" t="s">
        <v>4</v>
      </c>
      <c r="D2" s="9" t="s">
        <v>39</v>
      </c>
      <c r="E2" s="9" t="s">
        <v>30</v>
      </c>
      <c r="F2" s="9" t="s">
        <v>119</v>
      </c>
      <c r="G2" s="29" t="s">
        <v>114</v>
      </c>
      <c r="H2" s="29" t="s">
        <v>114</v>
      </c>
      <c r="I2" s="29" t="s">
        <v>109</v>
      </c>
      <c r="J2" s="9" t="s">
        <v>33</v>
      </c>
      <c r="K2" s="9" t="s">
        <v>33</v>
      </c>
      <c r="L2" s="9" t="s">
        <v>33</v>
      </c>
      <c r="M2" s="9" t="s">
        <v>75</v>
      </c>
      <c r="N2" s="18" t="s">
        <v>74</v>
      </c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</row>
    <row r="3" spans="1:25" s="3" customFormat="1" ht="51" customHeight="1" x14ac:dyDescent="0.25">
      <c r="A3" s="10">
        <v>2</v>
      </c>
      <c r="B3" s="6" t="s">
        <v>6</v>
      </c>
      <c r="C3" s="9" t="s">
        <v>5</v>
      </c>
      <c r="D3" s="9" t="s">
        <v>53</v>
      </c>
      <c r="E3" s="9" t="s">
        <v>54</v>
      </c>
      <c r="F3" s="9" t="s">
        <v>88</v>
      </c>
      <c r="G3" s="29" t="s">
        <v>114</v>
      </c>
      <c r="H3" s="29" t="s">
        <v>114</v>
      </c>
      <c r="I3" s="29" t="s">
        <v>114</v>
      </c>
      <c r="J3" s="9" t="s">
        <v>33</v>
      </c>
      <c r="K3" s="9" t="s">
        <v>33</v>
      </c>
      <c r="L3" s="9" t="s">
        <v>33</v>
      </c>
      <c r="M3" s="17" t="s">
        <v>76</v>
      </c>
      <c r="N3" s="18" t="s">
        <v>89</v>
      </c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25" s="3" customFormat="1" ht="51" customHeight="1" x14ac:dyDescent="0.25">
      <c r="A4" s="10">
        <v>3</v>
      </c>
      <c r="B4" s="6" t="s">
        <v>8</v>
      </c>
      <c r="C4" s="9" t="s">
        <v>9</v>
      </c>
      <c r="D4" s="9" t="s">
        <v>55</v>
      </c>
      <c r="E4" s="9" t="s">
        <v>56</v>
      </c>
      <c r="F4" s="9" t="s">
        <v>120</v>
      </c>
      <c r="G4" s="29" t="s">
        <v>114</v>
      </c>
      <c r="H4" s="29" t="s">
        <v>114</v>
      </c>
      <c r="I4" s="29" t="s">
        <v>114</v>
      </c>
      <c r="J4" s="9" t="s">
        <v>33</v>
      </c>
      <c r="K4" s="9" t="s">
        <v>33</v>
      </c>
      <c r="L4" s="9" t="s">
        <v>33</v>
      </c>
      <c r="M4" s="17" t="s">
        <v>76</v>
      </c>
      <c r="N4" s="18" t="s">
        <v>90</v>
      </c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25" s="3" customFormat="1" ht="51" customHeight="1" x14ac:dyDescent="0.25">
      <c r="A5" s="10">
        <v>4</v>
      </c>
      <c r="B5" s="10" t="s">
        <v>72</v>
      </c>
      <c r="C5" s="9" t="s">
        <v>10</v>
      </c>
      <c r="D5" s="9" t="s">
        <v>37</v>
      </c>
      <c r="E5" s="9" t="s">
        <v>57</v>
      </c>
      <c r="F5" s="9" t="s">
        <v>91</v>
      </c>
      <c r="G5" s="29" t="s">
        <v>114</v>
      </c>
      <c r="H5" s="29" t="s">
        <v>114</v>
      </c>
      <c r="I5" s="29" t="s">
        <v>114</v>
      </c>
      <c r="J5" s="9" t="s">
        <v>33</v>
      </c>
      <c r="K5" s="9" t="s">
        <v>33</v>
      </c>
      <c r="L5" s="9" t="s">
        <v>33</v>
      </c>
      <c r="M5" s="9" t="s">
        <v>77</v>
      </c>
      <c r="N5" s="18" t="s">
        <v>92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</row>
    <row r="6" spans="1:25" s="3" customFormat="1" ht="51" customHeight="1" x14ac:dyDescent="0.25">
      <c r="A6" s="10">
        <v>5</v>
      </c>
      <c r="B6" s="10" t="s">
        <v>14</v>
      </c>
      <c r="C6" s="9" t="s">
        <v>12</v>
      </c>
      <c r="D6" s="9" t="s">
        <v>34</v>
      </c>
      <c r="E6" s="9" t="s">
        <v>70</v>
      </c>
      <c r="F6" s="9" t="s">
        <v>93</v>
      </c>
      <c r="G6" s="29" t="s">
        <v>114</v>
      </c>
      <c r="H6" s="29" t="s">
        <v>114</v>
      </c>
      <c r="I6" s="29" t="s">
        <v>114</v>
      </c>
      <c r="J6" s="9" t="s">
        <v>33</v>
      </c>
      <c r="K6" s="9" t="s">
        <v>33</v>
      </c>
      <c r="L6" s="9" t="s">
        <v>33</v>
      </c>
      <c r="M6" s="9" t="s">
        <v>78</v>
      </c>
      <c r="N6" s="18" t="s">
        <v>94</v>
      </c>
      <c r="O6" s="13"/>
      <c r="P6" s="14"/>
      <c r="Q6" s="14"/>
      <c r="R6" s="14"/>
      <c r="S6" s="14"/>
      <c r="T6" s="14"/>
      <c r="U6" s="14"/>
      <c r="V6" s="13"/>
      <c r="W6" s="13"/>
      <c r="X6" s="13"/>
      <c r="Y6" s="13"/>
    </row>
    <row r="7" spans="1:25" s="3" customFormat="1" ht="51" customHeight="1" x14ac:dyDescent="0.25">
      <c r="A7" s="10">
        <v>6</v>
      </c>
      <c r="B7" s="10" t="s">
        <v>16</v>
      </c>
      <c r="C7" s="9" t="s">
        <v>15</v>
      </c>
      <c r="D7" s="9" t="s">
        <v>36</v>
      </c>
      <c r="E7" s="9" t="s">
        <v>66</v>
      </c>
      <c r="F7" s="9" t="s">
        <v>95</v>
      </c>
      <c r="G7" s="29" t="s">
        <v>114</v>
      </c>
      <c r="H7" s="29" t="s">
        <v>114</v>
      </c>
      <c r="I7" s="29" t="s">
        <v>114</v>
      </c>
      <c r="J7" s="9" t="s">
        <v>33</v>
      </c>
      <c r="K7" s="9" t="s">
        <v>33</v>
      </c>
      <c r="L7" s="9" t="s">
        <v>33</v>
      </c>
      <c r="M7" s="9" t="s">
        <v>79</v>
      </c>
      <c r="N7" s="18" t="s">
        <v>96</v>
      </c>
      <c r="O7" s="13"/>
      <c r="P7" s="14"/>
      <c r="Q7" s="14"/>
      <c r="R7" s="14"/>
      <c r="S7" s="14"/>
      <c r="T7" s="14"/>
      <c r="U7" s="14"/>
      <c r="V7" s="13"/>
      <c r="W7" s="13"/>
      <c r="X7" s="13"/>
      <c r="Y7" s="13"/>
    </row>
    <row r="8" spans="1:25" s="3" customFormat="1" ht="51" customHeight="1" x14ac:dyDescent="0.25">
      <c r="A8" s="10">
        <v>7</v>
      </c>
      <c r="B8" s="10" t="s">
        <v>17</v>
      </c>
      <c r="C8" s="9" t="s">
        <v>18</v>
      </c>
      <c r="D8" s="9" t="s">
        <v>38</v>
      </c>
      <c r="E8" s="9" t="s">
        <v>65</v>
      </c>
      <c r="F8" s="9" t="s">
        <v>97</v>
      </c>
      <c r="G8" s="29" t="s">
        <v>114</v>
      </c>
      <c r="H8" s="29" t="s">
        <v>114</v>
      </c>
      <c r="I8" s="29" t="s">
        <v>114</v>
      </c>
      <c r="J8" s="9" t="s">
        <v>33</v>
      </c>
      <c r="K8" s="9" t="s">
        <v>33</v>
      </c>
      <c r="L8" s="9" t="s">
        <v>33</v>
      </c>
      <c r="M8" s="9" t="s">
        <v>80</v>
      </c>
      <c r="N8" s="18" t="s">
        <v>96</v>
      </c>
      <c r="O8" s="13"/>
      <c r="P8" s="14"/>
      <c r="Q8" s="14"/>
      <c r="R8" s="14"/>
      <c r="S8" s="14"/>
      <c r="T8" s="14"/>
      <c r="U8" s="14"/>
      <c r="V8" s="13"/>
      <c r="W8" s="13"/>
      <c r="X8" s="13"/>
      <c r="Y8" s="13"/>
    </row>
    <row r="9" spans="1:25" s="3" customFormat="1" ht="51" customHeight="1" x14ac:dyDescent="0.25">
      <c r="A9" s="10">
        <v>8</v>
      </c>
      <c r="B9" s="10" t="s">
        <v>19</v>
      </c>
      <c r="C9" s="9" t="s">
        <v>20</v>
      </c>
      <c r="D9" s="9" t="s">
        <v>64</v>
      </c>
      <c r="E9" s="9" t="s">
        <v>63</v>
      </c>
      <c r="F9" s="9" t="s">
        <v>98</v>
      </c>
      <c r="G9" s="29" t="s">
        <v>114</v>
      </c>
      <c r="H9" s="29" t="s">
        <v>114</v>
      </c>
      <c r="I9" s="29" t="s">
        <v>114</v>
      </c>
      <c r="J9" s="9" t="s">
        <v>33</v>
      </c>
      <c r="K9" s="9" t="s">
        <v>33</v>
      </c>
      <c r="L9" s="9" t="s">
        <v>33</v>
      </c>
      <c r="M9" s="9" t="s">
        <v>81</v>
      </c>
      <c r="N9" s="18" t="s">
        <v>99</v>
      </c>
      <c r="O9" s="13"/>
      <c r="P9" s="14"/>
      <c r="Q9" s="14"/>
      <c r="R9" s="14"/>
      <c r="S9" s="14"/>
      <c r="T9" s="14"/>
      <c r="U9" s="14"/>
      <c r="V9" s="13"/>
      <c r="W9" s="13"/>
      <c r="X9" s="13"/>
      <c r="Y9" s="13"/>
    </row>
    <row r="10" spans="1:25" s="3" customFormat="1" ht="51" customHeight="1" x14ac:dyDescent="0.25">
      <c r="A10" s="10">
        <v>9</v>
      </c>
      <c r="B10" s="10" t="s">
        <v>21</v>
      </c>
      <c r="C10" s="9" t="s">
        <v>23</v>
      </c>
      <c r="D10" s="9" t="s">
        <v>40</v>
      </c>
      <c r="E10" s="9" t="s">
        <v>31</v>
      </c>
      <c r="F10" s="9" t="s">
        <v>100</v>
      </c>
      <c r="G10" s="29" t="s">
        <v>114</v>
      </c>
      <c r="H10" s="29" t="s">
        <v>114</v>
      </c>
      <c r="I10" s="29" t="s">
        <v>114</v>
      </c>
      <c r="J10" s="9" t="s">
        <v>33</v>
      </c>
      <c r="K10" s="9" t="s">
        <v>33</v>
      </c>
      <c r="L10" s="9" t="s">
        <v>33</v>
      </c>
      <c r="M10" s="9" t="s">
        <v>82</v>
      </c>
      <c r="N10" s="18" t="s">
        <v>74</v>
      </c>
      <c r="O10" s="13"/>
      <c r="P10" s="14"/>
      <c r="Q10" s="14"/>
      <c r="R10" s="14"/>
      <c r="S10" s="14"/>
      <c r="T10" s="14"/>
      <c r="U10" s="14"/>
      <c r="V10" s="13"/>
      <c r="W10" s="13"/>
      <c r="X10" s="13"/>
      <c r="Y10" s="13"/>
    </row>
    <row r="11" spans="1:25" s="3" customFormat="1" ht="51" customHeight="1" x14ac:dyDescent="0.25">
      <c r="A11" s="10">
        <v>10</v>
      </c>
      <c r="B11" s="10" t="s">
        <v>22</v>
      </c>
      <c r="C11" s="9" t="s">
        <v>24</v>
      </c>
      <c r="D11" s="9" t="s">
        <v>41</v>
      </c>
      <c r="E11" s="9" t="s">
        <v>32</v>
      </c>
      <c r="F11" s="9" t="s">
        <v>101</v>
      </c>
      <c r="G11" s="29" t="s">
        <v>114</v>
      </c>
      <c r="H11" s="29" t="s">
        <v>114</v>
      </c>
      <c r="I11" s="29" t="s">
        <v>114</v>
      </c>
      <c r="J11" s="9" t="s">
        <v>33</v>
      </c>
      <c r="K11" s="9" t="s">
        <v>33</v>
      </c>
      <c r="L11" s="9" t="s">
        <v>33</v>
      </c>
      <c r="M11" s="9" t="s">
        <v>82</v>
      </c>
      <c r="N11" s="18" t="s">
        <v>74</v>
      </c>
      <c r="O11" s="13"/>
      <c r="P11" s="14"/>
      <c r="Q11" s="14"/>
      <c r="R11" s="14"/>
      <c r="S11" s="14"/>
      <c r="T11" s="14"/>
      <c r="U11" s="14"/>
      <c r="V11" s="13"/>
      <c r="W11" s="13"/>
      <c r="X11" s="13"/>
      <c r="Y11" s="13"/>
    </row>
    <row r="12" spans="1:25" s="3" customFormat="1" ht="51" customHeight="1" x14ac:dyDescent="0.25">
      <c r="A12" s="9">
        <v>11</v>
      </c>
      <c r="B12" s="10" t="s">
        <v>26</v>
      </c>
      <c r="C12" s="9" t="s">
        <v>25</v>
      </c>
      <c r="D12" s="9" t="s">
        <v>35</v>
      </c>
      <c r="E12" s="9" t="s">
        <v>67</v>
      </c>
      <c r="F12" s="9" t="s">
        <v>102</v>
      </c>
      <c r="G12" s="29" t="s">
        <v>114</v>
      </c>
      <c r="H12" s="29" t="s">
        <v>114</v>
      </c>
      <c r="I12" s="29" t="s">
        <v>114</v>
      </c>
      <c r="J12" s="9" t="s">
        <v>33</v>
      </c>
      <c r="K12" s="9" t="s">
        <v>33</v>
      </c>
      <c r="L12" s="9" t="s">
        <v>33</v>
      </c>
      <c r="M12" s="9" t="s">
        <v>82</v>
      </c>
      <c r="N12" s="18" t="s">
        <v>103</v>
      </c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</row>
    <row r="13" spans="1:25" s="3" customFormat="1" ht="51" customHeight="1" x14ac:dyDescent="0.25">
      <c r="A13" s="10">
        <v>12</v>
      </c>
      <c r="B13" s="10" t="s">
        <v>47</v>
      </c>
      <c r="C13" s="9" t="s">
        <v>68</v>
      </c>
      <c r="D13" s="9" t="s">
        <v>61</v>
      </c>
      <c r="E13" s="9" t="s">
        <v>60</v>
      </c>
      <c r="F13" s="9" t="s">
        <v>104</v>
      </c>
      <c r="G13" s="29" t="s">
        <v>114</v>
      </c>
      <c r="H13" s="29" t="s">
        <v>114</v>
      </c>
      <c r="I13" s="29" t="s">
        <v>114</v>
      </c>
      <c r="J13" s="9" t="s">
        <v>33</v>
      </c>
      <c r="K13" s="9" t="s">
        <v>33</v>
      </c>
      <c r="L13" s="9" t="s">
        <v>33</v>
      </c>
      <c r="M13" s="17" t="s">
        <v>83</v>
      </c>
      <c r="N13" s="18" t="s">
        <v>105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</row>
    <row r="14" spans="1:25" s="3" customFormat="1" ht="51" customHeight="1" x14ac:dyDescent="0.25">
      <c r="A14" s="10">
        <v>13</v>
      </c>
      <c r="B14" s="10" t="s">
        <v>48</v>
      </c>
      <c r="C14" s="9" t="s">
        <v>69</v>
      </c>
      <c r="D14" s="9" t="s">
        <v>59</v>
      </c>
      <c r="E14" s="9" t="s">
        <v>58</v>
      </c>
      <c r="F14" s="9" t="s">
        <v>106</v>
      </c>
      <c r="G14" s="29" t="s">
        <v>114</v>
      </c>
      <c r="H14" s="29" t="s">
        <v>114</v>
      </c>
      <c r="I14" s="29" t="s">
        <v>114</v>
      </c>
      <c r="J14" s="9" t="s">
        <v>33</v>
      </c>
      <c r="K14" s="9" t="s">
        <v>33</v>
      </c>
      <c r="L14" s="9" t="s">
        <v>33</v>
      </c>
      <c r="M14" s="17" t="s">
        <v>83</v>
      </c>
      <c r="N14" s="18" t="s">
        <v>105</v>
      </c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5" s="3" customFormat="1" ht="51" customHeight="1" x14ac:dyDescent="0.25">
      <c r="A15" s="10">
        <v>14</v>
      </c>
      <c r="B15" s="10" t="s">
        <v>13</v>
      </c>
      <c r="C15" s="9" t="s">
        <v>11</v>
      </c>
      <c r="D15" s="9" t="s">
        <v>42</v>
      </c>
      <c r="E15" s="9" t="s">
        <v>62</v>
      </c>
      <c r="F15" s="9" t="s">
        <v>107</v>
      </c>
      <c r="G15" s="29" t="s">
        <v>114</v>
      </c>
      <c r="H15" s="29" t="s">
        <v>114</v>
      </c>
      <c r="I15" s="29" t="s">
        <v>114</v>
      </c>
      <c r="J15" s="9" t="s">
        <v>33</v>
      </c>
      <c r="K15" s="9" t="s">
        <v>33</v>
      </c>
      <c r="L15" s="9" t="s">
        <v>33</v>
      </c>
      <c r="M15" s="9" t="s">
        <v>46</v>
      </c>
      <c r="N15" s="18" t="s">
        <v>84</v>
      </c>
      <c r="O15" s="13"/>
      <c r="P15" s="14"/>
      <c r="Q15" s="14"/>
      <c r="R15" s="14"/>
      <c r="S15" s="14"/>
      <c r="T15" s="14"/>
      <c r="U15" s="14"/>
      <c r="V15" s="13"/>
      <c r="W15" s="13"/>
      <c r="X15" s="13"/>
      <c r="Y15" s="13"/>
    </row>
    <row r="16" spans="1:25" s="3" customFormat="1" ht="51" customHeight="1" x14ac:dyDescent="0.25">
      <c r="A16" s="10">
        <v>15</v>
      </c>
      <c r="B16" s="10" t="s">
        <v>121</v>
      </c>
      <c r="C16" s="9" t="s">
        <v>122</v>
      </c>
      <c r="D16" s="9" t="s">
        <v>123</v>
      </c>
      <c r="E16" s="9" t="s">
        <v>124</v>
      </c>
      <c r="F16" s="9" t="s">
        <v>125</v>
      </c>
      <c r="G16" s="29" t="s">
        <v>114</v>
      </c>
      <c r="H16" s="29" t="s">
        <v>114</v>
      </c>
      <c r="I16" s="29" t="s">
        <v>114</v>
      </c>
      <c r="J16" s="9" t="s">
        <v>33</v>
      </c>
      <c r="K16" s="9" t="s">
        <v>33</v>
      </c>
      <c r="L16" s="9" t="s">
        <v>33</v>
      </c>
      <c r="M16" s="9" t="s">
        <v>126</v>
      </c>
      <c r="N16" s="18" t="s">
        <v>127</v>
      </c>
      <c r="O16" s="13"/>
      <c r="P16" s="14"/>
      <c r="Q16" s="14"/>
      <c r="R16" s="14"/>
      <c r="S16" s="14"/>
      <c r="T16" s="14"/>
      <c r="U16" s="14"/>
      <c r="V16" s="13"/>
      <c r="W16" s="13"/>
      <c r="X16" s="13"/>
      <c r="Y16" s="13"/>
    </row>
    <row r="17" spans="1:25" s="3" customFormat="1" ht="51" customHeight="1" x14ac:dyDescent="0.25">
      <c r="A17" s="15">
        <v>16</v>
      </c>
      <c r="B17" s="15" t="s">
        <v>49</v>
      </c>
      <c r="C17" s="16" t="s">
        <v>114</v>
      </c>
      <c r="D17" s="16" t="s">
        <v>114</v>
      </c>
      <c r="E17" s="16" t="s">
        <v>114</v>
      </c>
      <c r="F17" s="16" t="s">
        <v>114</v>
      </c>
      <c r="G17" s="16" t="s">
        <v>114</v>
      </c>
      <c r="H17" s="16" t="s">
        <v>114</v>
      </c>
      <c r="I17" s="16" t="s">
        <v>114</v>
      </c>
      <c r="J17" s="16" t="s">
        <v>114</v>
      </c>
      <c r="K17" s="16" t="s">
        <v>114</v>
      </c>
      <c r="L17" s="16" t="s">
        <v>114</v>
      </c>
      <c r="M17" s="16" t="s">
        <v>71</v>
      </c>
      <c r="N17" s="16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s="3" customFormat="1" ht="51" customHeight="1" x14ac:dyDescent="0.25">
      <c r="A18" s="15">
        <v>17</v>
      </c>
      <c r="B18" s="15" t="s">
        <v>50</v>
      </c>
      <c r="C18" s="16" t="s">
        <v>114</v>
      </c>
      <c r="D18" s="16" t="s">
        <v>114</v>
      </c>
      <c r="E18" s="16" t="s">
        <v>114</v>
      </c>
      <c r="F18" s="16" t="s">
        <v>114</v>
      </c>
      <c r="G18" s="16" t="s">
        <v>114</v>
      </c>
      <c r="H18" s="16" t="s">
        <v>114</v>
      </c>
      <c r="I18" s="16" t="s">
        <v>114</v>
      </c>
      <c r="J18" s="16" t="s">
        <v>114</v>
      </c>
      <c r="K18" s="16" t="s">
        <v>114</v>
      </c>
      <c r="L18" s="16" t="s">
        <v>114</v>
      </c>
      <c r="M18" s="16" t="s">
        <v>71</v>
      </c>
      <c r="N18" s="16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s="3" customFormat="1" ht="51" customHeight="1" x14ac:dyDescent="0.25">
      <c r="A19" s="15">
        <v>18</v>
      </c>
      <c r="B19" s="15" t="s">
        <v>27</v>
      </c>
      <c r="C19" s="16" t="s">
        <v>114</v>
      </c>
      <c r="D19" s="16" t="s">
        <v>114</v>
      </c>
      <c r="E19" s="16" t="s">
        <v>114</v>
      </c>
      <c r="F19" s="16" t="s">
        <v>114</v>
      </c>
      <c r="G19" s="16" t="s">
        <v>114</v>
      </c>
      <c r="H19" s="16" t="s">
        <v>114</v>
      </c>
      <c r="I19" s="16" t="s">
        <v>114</v>
      </c>
      <c r="J19" s="16" t="s">
        <v>114</v>
      </c>
      <c r="K19" s="16" t="s">
        <v>114</v>
      </c>
      <c r="L19" s="16" t="s">
        <v>114</v>
      </c>
      <c r="M19" s="16" t="s">
        <v>71</v>
      </c>
      <c r="N19" s="16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s="3" customFormat="1" ht="51" customHeight="1" x14ac:dyDescent="0.25">
      <c r="A20" s="15">
        <v>19</v>
      </c>
      <c r="B20" s="15" t="s">
        <v>51</v>
      </c>
      <c r="C20" s="16" t="s">
        <v>114</v>
      </c>
      <c r="D20" s="16" t="s">
        <v>114</v>
      </c>
      <c r="E20" s="16" t="s">
        <v>114</v>
      </c>
      <c r="F20" s="16" t="s">
        <v>114</v>
      </c>
      <c r="G20" s="16" t="s">
        <v>114</v>
      </c>
      <c r="H20" s="16" t="s">
        <v>114</v>
      </c>
      <c r="I20" s="16" t="s">
        <v>114</v>
      </c>
      <c r="J20" s="16" t="s">
        <v>114</v>
      </c>
      <c r="K20" s="16" t="s">
        <v>114</v>
      </c>
      <c r="L20" s="16" t="s">
        <v>114</v>
      </c>
      <c r="M20" s="16" t="s">
        <v>52</v>
      </c>
      <c r="N20" s="16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5" s="3" customFormat="1" ht="51" customHeight="1" x14ac:dyDescent="0.25">
      <c r="A21" s="15">
        <v>20</v>
      </c>
      <c r="B21" s="15" t="s">
        <v>28</v>
      </c>
      <c r="C21" s="16" t="s">
        <v>114</v>
      </c>
      <c r="D21" s="16" t="s">
        <v>114</v>
      </c>
      <c r="E21" s="16" t="s">
        <v>114</v>
      </c>
      <c r="F21" s="16" t="s">
        <v>114</v>
      </c>
      <c r="G21" s="16" t="s">
        <v>114</v>
      </c>
      <c r="H21" s="16" t="s">
        <v>114</v>
      </c>
      <c r="I21" s="16" t="s">
        <v>114</v>
      </c>
      <c r="J21" s="16" t="s">
        <v>114</v>
      </c>
      <c r="K21" s="16" t="s">
        <v>114</v>
      </c>
      <c r="L21" s="16" t="s">
        <v>114</v>
      </c>
      <c r="M21" s="16" t="s">
        <v>52</v>
      </c>
      <c r="N21" s="16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1:25" s="3" customFormat="1" ht="51" customHeight="1" x14ac:dyDescent="0.25">
      <c r="A22" s="15">
        <v>21</v>
      </c>
      <c r="B22" s="15" t="s">
        <v>29</v>
      </c>
      <c r="C22" s="16" t="s">
        <v>114</v>
      </c>
      <c r="D22" s="16" t="s">
        <v>114</v>
      </c>
      <c r="E22" s="16" t="s">
        <v>114</v>
      </c>
      <c r="F22" s="16" t="s">
        <v>114</v>
      </c>
      <c r="G22" s="16" t="s">
        <v>114</v>
      </c>
      <c r="H22" s="16" t="s">
        <v>114</v>
      </c>
      <c r="I22" s="16" t="s">
        <v>114</v>
      </c>
      <c r="J22" s="16" t="s">
        <v>114</v>
      </c>
      <c r="K22" s="16" t="s">
        <v>114</v>
      </c>
      <c r="L22" s="16" t="s">
        <v>114</v>
      </c>
      <c r="M22" s="16" t="s">
        <v>52</v>
      </c>
      <c r="N22" s="16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</sheetData>
  <pageMargins left="0.7" right="0.7" top="0.75" bottom="0.75" header="0.3" footer="0.3"/>
  <pageSetup paperSize="9" orientation="portrait" horizontalDpi="300" verticalDpi="300" r:id="rId1"/>
  <ignoredErrors>
    <ignoredError sqref="I2 C17:C22 G3:I15 G17:L2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33C72-1E01-4E9A-B336-9C71013529D3}">
  <sheetPr codeName="Sheet2"/>
  <dimension ref="A1:E23"/>
  <sheetViews>
    <sheetView zoomScaleNormal="100" workbookViewId="0">
      <selection activeCell="B1" sqref="B1"/>
    </sheetView>
  </sheetViews>
  <sheetFormatPr defaultRowHeight="14.4" x14ac:dyDescent="0.3"/>
  <cols>
    <col min="1" max="1" width="22.109375" style="20" customWidth="1"/>
    <col min="2" max="2" width="19.6640625" style="23" customWidth="1"/>
    <col min="4" max="4" width="67.109375" style="24" customWidth="1"/>
    <col min="5" max="5" width="58.88671875" style="24" customWidth="1"/>
  </cols>
  <sheetData>
    <row r="1" spans="1:5" ht="63.6" customHeight="1" x14ac:dyDescent="0.3">
      <c r="A1" s="25" t="s">
        <v>0</v>
      </c>
      <c r="B1" s="26">
        <v>15</v>
      </c>
      <c r="C1" s="19"/>
      <c r="D1" s="27" t="s">
        <v>85</v>
      </c>
      <c r="E1" s="27" t="s">
        <v>86</v>
      </c>
    </row>
    <row r="2" spans="1:5" ht="27.6" customHeight="1" x14ac:dyDescent="0.3">
      <c r="A2" s="21" t="s">
        <v>1</v>
      </c>
      <c r="B2" s="22" t="str">
        <f>"www."&amp;VLOOKUP($B$1,List!A:F,2)</f>
        <v>www.lavandicoffee.com</v>
      </c>
      <c r="C2" s="19"/>
      <c r="D2" s="33" t="s">
        <v>128</v>
      </c>
      <c r="E2" s="33" t="s">
        <v>129</v>
      </c>
    </row>
    <row r="3" spans="1:5" ht="27.6" customHeight="1" x14ac:dyDescent="0.3">
      <c r="A3" s="21" t="s">
        <v>2</v>
      </c>
      <c r="B3" s="32" t="str">
        <f>VLOOKUP($B$1,List!A:I,3)</f>
        <v>UA-217438231-1</v>
      </c>
      <c r="C3" s="19"/>
      <c r="D3" s="34"/>
      <c r="E3" s="34"/>
    </row>
    <row r="4" spans="1:5" ht="27.6" customHeight="1" x14ac:dyDescent="0.3">
      <c r="A4" s="21" t="s">
        <v>110</v>
      </c>
      <c r="B4" s="22" t="str">
        <f>VLOOKUP($B$1,List!A:I,4)</f>
        <v>G-VJJF0F6K1F</v>
      </c>
      <c r="C4" s="19"/>
      <c r="D4" s="34"/>
      <c r="E4" s="34"/>
    </row>
    <row r="5" spans="1:5" ht="27.6" customHeight="1" x14ac:dyDescent="0.3">
      <c r="A5" s="21" t="s">
        <v>3</v>
      </c>
      <c r="B5" s="22" t="str">
        <f>VLOOKUP($B$1,List!A:I,5)</f>
        <v>GTM-B8G2TDM</v>
      </c>
      <c r="C5" s="19"/>
      <c r="D5" s="34"/>
      <c r="E5" s="34"/>
    </row>
    <row r="6" spans="1:5" ht="27.6" customHeight="1" x14ac:dyDescent="0.3">
      <c r="A6" s="21" t="s">
        <v>111</v>
      </c>
      <c r="B6" s="22" t="str">
        <f>VLOOKUP($B$1,List!A:I,6)</f>
        <v>OPT-NX35483</v>
      </c>
      <c r="C6" s="19"/>
      <c r="D6" s="34"/>
      <c r="E6" s="34"/>
    </row>
    <row r="7" spans="1:5" ht="27.6" customHeight="1" x14ac:dyDescent="0.3">
      <c r="A7" s="31" t="s">
        <v>115</v>
      </c>
      <c r="B7" s="22" t="str">
        <f>VLOOKUP($B$1,List!A:I,7)</f>
        <v>0</v>
      </c>
      <c r="C7" s="19"/>
      <c r="D7" s="34"/>
      <c r="E7" s="34"/>
    </row>
    <row r="8" spans="1:5" ht="27.6" customHeight="1" x14ac:dyDescent="0.3">
      <c r="A8" s="31" t="s">
        <v>113</v>
      </c>
      <c r="B8" s="22" t="str">
        <f>VLOOKUP($B$1,List!A:I,8)</f>
        <v>0</v>
      </c>
      <c r="D8" s="34"/>
      <c r="E8" s="34"/>
    </row>
    <row r="9" spans="1:5" ht="27.6" customHeight="1" x14ac:dyDescent="0.3">
      <c r="A9" s="31" t="s">
        <v>108</v>
      </c>
      <c r="B9" s="22" t="str">
        <f>VLOOKUP($B$1,List!A:I,9)</f>
        <v>0</v>
      </c>
      <c r="D9" s="34"/>
      <c r="E9" s="34"/>
    </row>
    <row r="10" spans="1:5" x14ac:dyDescent="0.3">
      <c r="A10"/>
      <c r="D10" s="34"/>
      <c r="E10" s="34"/>
    </row>
    <row r="11" spans="1:5" x14ac:dyDescent="0.3">
      <c r="A11"/>
      <c r="D11" s="34"/>
      <c r="E11" s="34"/>
    </row>
    <row r="12" spans="1:5" x14ac:dyDescent="0.3">
      <c r="A12"/>
      <c r="D12" s="34"/>
      <c r="E12" s="34"/>
    </row>
    <row r="13" spans="1:5" x14ac:dyDescent="0.3">
      <c r="A13"/>
      <c r="D13" s="34"/>
      <c r="E13" s="34"/>
    </row>
    <row r="14" spans="1:5" x14ac:dyDescent="0.3">
      <c r="A14"/>
      <c r="D14" s="34"/>
      <c r="E14" s="34"/>
    </row>
    <row r="15" spans="1:5" x14ac:dyDescent="0.3">
      <c r="A15"/>
      <c r="D15" s="34"/>
      <c r="E15" s="34"/>
    </row>
    <row r="16" spans="1:5" x14ac:dyDescent="0.3">
      <c r="D16" s="34"/>
      <c r="E16" s="34"/>
    </row>
    <row r="17" spans="4:5" x14ac:dyDescent="0.3">
      <c r="D17" s="34"/>
      <c r="E17" s="34"/>
    </row>
    <row r="18" spans="4:5" x14ac:dyDescent="0.3">
      <c r="D18" s="34"/>
      <c r="E18" s="34"/>
    </row>
    <row r="19" spans="4:5" x14ac:dyDescent="0.3">
      <c r="D19" s="34"/>
      <c r="E19" s="34"/>
    </row>
    <row r="20" spans="4:5" x14ac:dyDescent="0.3">
      <c r="D20" s="34"/>
      <c r="E20" s="34"/>
    </row>
    <row r="21" spans="4:5" x14ac:dyDescent="0.3">
      <c r="D21" s="34"/>
      <c r="E21" s="34"/>
    </row>
    <row r="22" spans="4:5" x14ac:dyDescent="0.3">
      <c r="D22" s="34"/>
      <c r="E22" s="34"/>
    </row>
    <row r="23" spans="4:5" x14ac:dyDescent="0.3">
      <c r="D23" s="34"/>
      <c r="E23" s="34"/>
    </row>
  </sheetData>
  <mergeCells count="2">
    <mergeCell ref="D2:D23"/>
    <mergeCell ref="E2:E23"/>
  </mergeCell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List</vt:lpstr>
      <vt:lpstr>Produce</vt:lpstr>
      <vt:lpstr>Code_ADSENSE</vt:lpstr>
      <vt:lpstr>Code_ADWORDS</vt:lpstr>
      <vt:lpstr>Code_GA4</vt:lpstr>
      <vt:lpstr>Code_GTM</vt:lpstr>
      <vt:lpstr>Code_OPT</vt:lpstr>
      <vt:lpstr>Code_PIXEL</vt:lpstr>
      <vt:lpstr>Code_UA</vt:lpstr>
      <vt:lpstr>part_body</vt:lpstr>
      <vt:lpstr>part_head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DURMAZ</dc:creator>
  <cp:lastModifiedBy>Mehmet DURMAZ</cp:lastModifiedBy>
  <dcterms:created xsi:type="dcterms:W3CDTF">2021-11-29T07:20:43Z</dcterms:created>
  <dcterms:modified xsi:type="dcterms:W3CDTF">2022-01-24T07:48:26Z</dcterms:modified>
</cp:coreProperties>
</file>